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430"/>
  <workbookPr hidePivotFieldList="1" defaultThemeVersion="166925"/>
  <mc:AlternateContent xmlns:mc="http://schemas.openxmlformats.org/markup-compatibility/2006">
    <mc:Choice Requires="x15">
      <x15ac:absPath xmlns:x15ac="http://schemas.microsoft.com/office/spreadsheetml/2010/11/ac" url="C:\Users\Dell_owner\Desktop\"/>
    </mc:Choice>
  </mc:AlternateContent>
  <xr:revisionPtr revIDLastSave="0" documentId="13_ncr:1_{07C9D735-9A14-4481-ADC0-BC135A26827E}" xr6:coauthVersionLast="45" xr6:coauthVersionMax="45" xr10:uidLastSave="{00000000-0000-0000-0000-000000000000}"/>
  <bookViews>
    <workbookView xWindow="-120" yWindow="-120" windowWidth="20730" windowHeight="11160" activeTab="3" xr2:uid="{9CDB164D-DCDE-4632-B520-C6BCFF721F52}"/>
  </bookViews>
  <sheets>
    <sheet name="Raw Data" sheetId="1" r:id="rId1"/>
    <sheet name="Sheet4" sheetId="4" r:id="rId2"/>
    <sheet name="Charts" sheetId="7" r:id="rId3"/>
    <sheet name="Dashboard" sheetId="5" r:id="rId4"/>
    <sheet name="Sheet7" sheetId="6" r:id="rId5"/>
    <sheet name="Pivot Analysis" sheetId="8" r:id="rId6"/>
  </sheets>
  <definedNames>
    <definedName name="Slicer_Product">#N/A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5" i="8" l="1"/>
  <c r="C25" i="8"/>
  <c r="C24" i="8"/>
  <c r="B24" i="8"/>
  <c r="K27" i="8"/>
</calcChain>
</file>

<file path=xl/sharedStrings.xml><?xml version="1.0" encoding="utf-8"?>
<sst xmlns="http://schemas.openxmlformats.org/spreadsheetml/2006/main" count="1371" uniqueCount="86">
  <si>
    <t>Order ID</t>
  </si>
  <si>
    <t>Month</t>
  </si>
  <si>
    <t>Quarter</t>
  </si>
  <si>
    <t>Region</t>
  </si>
  <si>
    <t>Sales Rep</t>
  </si>
  <si>
    <t>Product</t>
  </si>
  <si>
    <t>Units Sold</t>
  </si>
  <si>
    <t>Unit Price (₹)</t>
  </si>
  <si>
    <t>Revenue (₹)</t>
  </si>
  <si>
    <t>Discount %</t>
  </si>
  <si>
    <t>Net Revenue (₹)</t>
  </si>
  <si>
    <t>Target (₹)</t>
  </si>
  <si>
    <t>Achieved %</t>
  </si>
  <si>
    <t>Jan</t>
  </si>
  <si>
    <t>Q1</t>
  </si>
  <si>
    <t>North</t>
  </si>
  <si>
    <t>Priya Sharma</t>
  </si>
  <si>
    <t>Laptop</t>
  </si>
  <si>
    <t>Tablet</t>
  </si>
  <si>
    <t>Arjun Mehta</t>
  </si>
  <si>
    <t>Phone</t>
  </si>
  <si>
    <t>Monitor</t>
  </si>
  <si>
    <t>Keyboard</t>
  </si>
  <si>
    <t>South</t>
  </si>
  <si>
    <t>Kavya Reddy</t>
  </si>
  <si>
    <t>Suresh Babu</t>
  </si>
  <si>
    <t>East</t>
  </si>
  <si>
    <t>Rohit Das</t>
  </si>
  <si>
    <t>Ananya Sen</t>
  </si>
  <si>
    <t>West</t>
  </si>
  <si>
    <t>Vikram Patel</t>
  </si>
  <si>
    <t>Deepika Joshi</t>
  </si>
  <si>
    <t>Feb</t>
  </si>
  <si>
    <t>Mar</t>
  </si>
  <si>
    <t>Apr</t>
  </si>
  <si>
    <t>Q2</t>
  </si>
  <si>
    <t>May</t>
  </si>
  <si>
    <t>Jun</t>
  </si>
  <si>
    <t>Jul</t>
  </si>
  <si>
    <t>Q3</t>
  </si>
  <si>
    <t>Aug</t>
  </si>
  <si>
    <t>Sep</t>
  </si>
  <si>
    <t>Oct</t>
  </si>
  <si>
    <t>Q4</t>
  </si>
  <si>
    <t>Nov</t>
  </si>
  <si>
    <t>Dec</t>
  </si>
  <si>
    <t>Grand Total</t>
  </si>
  <si>
    <t>Row Labels</t>
  </si>
  <si>
    <t>Sum of Revenue (₹)</t>
  </si>
  <si>
    <t>Total Revenue (₹)</t>
  </si>
  <si>
    <t xml:space="preserve">Total Revenue (₹)  </t>
  </si>
  <si>
    <t>Sales Performance - Visual Dashboard</t>
  </si>
  <si>
    <t>Sum of Target (₹)</t>
  </si>
  <si>
    <t>Total Revenue</t>
  </si>
  <si>
    <t>Targetted Revenue</t>
  </si>
  <si>
    <t>Total Units Sold</t>
  </si>
  <si>
    <t xml:space="preserve">Product  </t>
  </si>
  <si>
    <t>Regional Performance Breakdown</t>
  </si>
  <si>
    <t xml:space="preserve">      % Achieved        </t>
  </si>
  <si>
    <t xml:space="preserve"> Target (₹)</t>
  </si>
  <si>
    <t xml:space="preserve"> Revenue (₹)</t>
  </si>
  <si>
    <t xml:space="preserve">    Units Sold</t>
  </si>
  <si>
    <t>Top Selling Product</t>
  </si>
  <si>
    <t xml:space="preserve">Region   </t>
  </si>
  <si>
    <t>Total</t>
  </si>
  <si>
    <t xml:space="preserve">Units Sold  </t>
  </si>
  <si>
    <t xml:space="preserve"> Avg Deal Size</t>
  </si>
  <si>
    <t>Revenue by Region</t>
  </si>
  <si>
    <t>Sum of Revenue (₹)2</t>
  </si>
  <si>
    <t>% of Revenue</t>
  </si>
  <si>
    <t>Revenue by Product</t>
  </si>
  <si>
    <t>VLOOKUP and INDEX-MATCH Demo</t>
  </si>
  <si>
    <t>Metric</t>
  </si>
  <si>
    <t>VLOOKUP</t>
  </si>
  <si>
    <t>INDEX-MATCH</t>
  </si>
  <si>
    <t>Notes</t>
  </si>
  <si>
    <t>Sum of  Achieved (%)</t>
  </si>
  <si>
    <t>Sum of Revenue (₹)3</t>
  </si>
  <si>
    <t xml:space="preserve">Target (₹)  </t>
  </si>
  <si>
    <t xml:space="preserve"> Achieved (%) </t>
  </si>
  <si>
    <t>MoM Growth(%)</t>
  </si>
  <si>
    <t>Cumulative</t>
  </si>
  <si>
    <t>Monthly Revenue Trend</t>
  </si>
  <si>
    <t xml:space="preserve">LOOKUP Product : </t>
  </si>
  <si>
    <t>Both resturn same value</t>
  </si>
  <si>
    <t>INDEX-MATCH is more Flexible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</si>
</sst>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quot;₹&quot;\ #,##0.00"/>
    <numFmt numFmtId="167" formatCode="&quot;₹&quot;\ #,##0"/>
  </numFmts>
  <fonts count="7" x14ac:knownFonts="1">
    <font>
      <sz val="11"/>
      <color theme="1"/>
      <name val="Calibri"/>
      <family val="2"/>
      <scheme val="minor"/>
    </font>
    <font>
      <b/>
      <sz val="11"/>
      <color theme="1"/>
      <name val="Calibri"/>
      <family val="2"/>
      <scheme val="minor"/>
    </font>
    <font>
      <sz val="11"/>
      <color theme="1"/>
      <name val="Calibri"/>
      <family val="2"/>
      <charset val="1"/>
    </font>
    <font>
      <b/>
      <sz val="11"/>
      <color rgb="FFFFFFFF"/>
      <name val="Arial"/>
      <charset val="1"/>
    </font>
    <font>
      <b/>
      <sz val="11"/>
      <color rgb="FFFFFFFF"/>
      <name val="Arial"/>
      <family val="2"/>
    </font>
    <font>
      <sz val="10"/>
      <name val="Arial"/>
      <charset val="1"/>
    </font>
    <font>
      <b/>
      <sz val="26"/>
      <color theme="1"/>
      <name val="Calibri"/>
      <family val="2"/>
      <scheme val="minor"/>
    </font>
  </fonts>
  <fills count="10">
    <fill>
      <patternFill patternType="none"/>
    </fill>
    <fill>
      <patternFill patternType="gray125"/>
    </fill>
    <fill>
      <patternFill patternType="solid">
        <fgColor rgb="FF1F3864"/>
        <bgColor rgb="FF333300"/>
      </patternFill>
    </fill>
    <fill>
      <patternFill patternType="solid">
        <fgColor rgb="FFF2F2F2"/>
        <bgColor rgb="FFF7F9FC"/>
      </patternFill>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39997558519241921"/>
        <bgColor indexed="64"/>
      </patternFill>
    </fill>
  </fills>
  <borders count="1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2" fillId="0" borderId="0"/>
  </cellStyleXfs>
  <cellXfs count="68">
    <xf numFmtId="0" fontId="0" fillId="0" borderId="0" xfId="0"/>
    <xf numFmtId="0" fontId="5" fillId="3" borderId="1" xfId="1" applyFont="1" applyFill="1" applyBorder="1" applyAlignment="1">
      <alignment horizontal="center" vertical="center"/>
    </xf>
    <xf numFmtId="164" fontId="5" fillId="3" borderId="1" xfId="1" applyNumberFormat="1" applyFont="1" applyFill="1" applyBorder="1" applyAlignment="1">
      <alignment horizontal="center" vertical="center"/>
    </xf>
    <xf numFmtId="9" fontId="5" fillId="3" borderId="1" xfId="1" applyNumberFormat="1" applyFont="1" applyFill="1" applyBorder="1" applyAlignment="1">
      <alignment horizontal="center" vertical="center"/>
    </xf>
    <xf numFmtId="0" fontId="5" fillId="0" borderId="1" xfId="1" applyFont="1" applyBorder="1" applyAlignment="1">
      <alignment horizontal="center" vertical="center"/>
    </xf>
    <xf numFmtId="164" fontId="5" fillId="0" borderId="1" xfId="1" applyNumberFormat="1" applyFont="1" applyBorder="1" applyAlignment="1">
      <alignment horizontal="center" vertical="center"/>
    </xf>
    <xf numFmtId="9" fontId="5" fillId="0" borderId="1" xfId="1" applyNumberFormat="1" applyFont="1" applyBorder="1" applyAlignment="1">
      <alignment horizontal="center" vertical="center"/>
    </xf>
    <xf numFmtId="0" fontId="5" fillId="3" borderId="2" xfId="1" applyFont="1" applyFill="1" applyBorder="1" applyAlignment="1">
      <alignment horizontal="center" vertical="center"/>
    </xf>
    <xf numFmtId="0" fontId="5" fillId="0" borderId="2" xfId="1" applyFont="1" applyBorder="1" applyAlignment="1">
      <alignment horizontal="center" vertical="center"/>
    </xf>
    <xf numFmtId="165" fontId="5" fillId="3" borderId="3" xfId="1" applyNumberFormat="1" applyFont="1" applyFill="1" applyBorder="1" applyAlignment="1">
      <alignment horizontal="center" vertical="center"/>
    </xf>
    <xf numFmtId="165" fontId="5" fillId="0" borderId="3" xfId="1" applyNumberFormat="1" applyFont="1" applyBorder="1" applyAlignment="1">
      <alignment horizontal="center" vertical="center"/>
    </xf>
    <xf numFmtId="0" fontId="3" fillId="2" borderId="4" xfId="1" applyFont="1" applyFill="1" applyBorder="1" applyAlignment="1">
      <alignment horizontal="center" vertical="center" wrapText="1"/>
    </xf>
    <xf numFmtId="0" fontId="3" fillId="2" borderId="5"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5" fillId="0" borderId="7" xfId="1" applyFont="1" applyBorder="1" applyAlignment="1">
      <alignment horizontal="center" vertical="center"/>
    </xf>
    <xf numFmtId="0" fontId="5" fillId="0" borderId="8" xfId="1" applyFont="1" applyBorder="1" applyAlignment="1">
      <alignment horizontal="center" vertical="center"/>
    </xf>
    <xf numFmtId="164" fontId="5" fillId="0" borderId="8" xfId="1" applyNumberFormat="1" applyFont="1" applyBorder="1" applyAlignment="1">
      <alignment horizontal="center" vertical="center"/>
    </xf>
    <xf numFmtId="9" fontId="5" fillId="0" borderId="8" xfId="1" applyNumberFormat="1" applyFont="1" applyBorder="1" applyAlignment="1">
      <alignment horizontal="center" vertical="center"/>
    </xf>
    <xf numFmtId="165" fontId="5" fillId="0" borderId="9" xfId="1"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Alignment="1"/>
    <xf numFmtId="0" fontId="0" fillId="4" borderId="0" xfId="0" applyFill="1"/>
    <xf numFmtId="0" fontId="0" fillId="5" borderId="0" xfId="0" applyFill="1"/>
    <xf numFmtId="10" fontId="0" fillId="0" borderId="0" xfId="0" applyNumberFormat="1"/>
    <xf numFmtId="0" fontId="0" fillId="0" borderId="10" xfId="0" applyBorder="1" applyAlignment="1">
      <alignment horizontal="center"/>
    </xf>
    <xf numFmtId="10" fontId="0" fillId="0" borderId="0" xfId="0" applyNumberFormat="1" applyAlignment="1">
      <alignment horizontal="center"/>
    </xf>
    <xf numFmtId="0" fontId="0" fillId="0" borderId="0" xfId="0" applyAlignment="1">
      <alignment horizontal="center" vertical="center"/>
    </xf>
    <xf numFmtId="0" fontId="0" fillId="0" borderId="0" xfId="0" applyNumberFormat="1" applyAlignment="1">
      <alignment horizontal="center" vertical="center"/>
    </xf>
    <xf numFmtId="0" fontId="0" fillId="0" borderId="0" xfId="0" pivotButton="1" applyAlignment="1">
      <alignment horizontal="center" vertical="center"/>
    </xf>
    <xf numFmtId="0" fontId="1" fillId="6" borderId="0" xfId="0" pivotButton="1" applyFont="1" applyFill="1" applyAlignment="1">
      <alignment horizontal="center" vertical="center"/>
    </xf>
    <xf numFmtId="0" fontId="0" fillId="0" borderId="10" xfId="0" pivotButton="1" applyBorder="1" applyAlignment="1">
      <alignment horizontal="center" vertical="center"/>
    </xf>
    <xf numFmtId="0" fontId="1" fillId="6" borderId="10" xfId="0" pivotButton="1" applyFont="1" applyFill="1" applyBorder="1" applyAlignment="1">
      <alignment horizontal="center" vertical="center"/>
    </xf>
    <xf numFmtId="0" fontId="0" fillId="0" borderId="10" xfId="0" applyBorder="1" applyAlignment="1">
      <alignment horizontal="center" vertical="center"/>
    </xf>
    <xf numFmtId="0" fontId="0" fillId="0" borderId="10" xfId="0" applyNumberFormat="1" applyBorder="1" applyAlignment="1">
      <alignment horizontal="center" vertical="center"/>
    </xf>
    <xf numFmtId="10" fontId="0" fillId="0" borderId="10" xfId="0" applyNumberFormat="1" applyBorder="1" applyAlignment="1">
      <alignment horizontal="center"/>
    </xf>
    <xf numFmtId="167" fontId="0" fillId="0" borderId="0" xfId="0" applyNumberFormat="1"/>
    <xf numFmtId="167" fontId="0" fillId="0" borderId="10" xfId="0" applyNumberFormat="1" applyBorder="1" applyAlignment="1">
      <alignment horizontal="center" vertical="center"/>
    </xf>
    <xf numFmtId="0" fontId="0" fillId="0" borderId="10" xfId="0" applyBorder="1" applyAlignment="1">
      <alignment horizontal="left" vertical="center"/>
    </xf>
    <xf numFmtId="10" fontId="0" fillId="0" borderId="10" xfId="0" applyNumberFormat="1" applyBorder="1" applyAlignment="1">
      <alignment horizontal="center" vertical="center"/>
    </xf>
    <xf numFmtId="0" fontId="0" fillId="0" borderId="10" xfId="0" applyBorder="1" applyAlignment="1">
      <alignment vertical="center" wrapText="1"/>
    </xf>
    <xf numFmtId="0" fontId="0" fillId="0" borderId="10" xfId="0" applyBorder="1" applyAlignment="1">
      <alignment horizontal="center" vertical="center" wrapText="1"/>
    </xf>
    <xf numFmtId="0" fontId="0" fillId="0" borderId="0" xfId="0" applyFill="1" applyBorder="1" applyAlignment="1">
      <alignment horizontal="center" vertical="center"/>
    </xf>
    <xf numFmtId="0" fontId="0" fillId="0" borderId="0" xfId="0" applyFill="1" applyBorder="1"/>
    <xf numFmtId="166" fontId="0" fillId="0" borderId="0" xfId="0" applyNumberFormat="1" applyFill="1" applyBorder="1"/>
    <xf numFmtId="0" fontId="1" fillId="8" borderId="10" xfId="0" applyFont="1" applyFill="1" applyBorder="1" applyAlignment="1">
      <alignment horizontal="center" vertical="center"/>
    </xf>
    <xf numFmtId="0" fontId="6" fillId="4" borderId="0" xfId="0" applyFont="1" applyFill="1" applyAlignment="1">
      <alignment horizontal="center"/>
    </xf>
    <xf numFmtId="0" fontId="0" fillId="0" borderId="11" xfId="0" applyBorder="1" applyAlignment="1">
      <alignment horizontal="left" vertical="center"/>
    </xf>
    <xf numFmtId="0" fontId="0" fillId="0" borderId="13" xfId="0" applyBorder="1" applyAlignment="1">
      <alignment horizontal="left" vertical="center"/>
    </xf>
    <xf numFmtId="0" fontId="0" fillId="0" borderId="12" xfId="0" applyBorder="1" applyAlignment="1">
      <alignment horizontal="left" vertical="center"/>
    </xf>
    <xf numFmtId="0" fontId="1" fillId="8" borderId="10" xfId="0" applyFont="1" applyFill="1" applyBorder="1" applyAlignment="1">
      <alignment horizontal="center" vertical="center"/>
    </xf>
    <xf numFmtId="0" fontId="1" fillId="8" borderId="11" xfId="0" applyFont="1" applyFill="1" applyBorder="1" applyAlignment="1">
      <alignment horizontal="center"/>
    </xf>
    <xf numFmtId="0" fontId="1" fillId="8" borderId="13" xfId="0" applyFont="1" applyFill="1" applyBorder="1" applyAlignment="1">
      <alignment horizontal="center"/>
    </xf>
    <xf numFmtId="0" fontId="1" fillId="8" borderId="12" xfId="0" applyFont="1" applyFill="1" applyBorder="1" applyAlignment="1">
      <alignment horizontal="center"/>
    </xf>
    <xf numFmtId="0" fontId="0" fillId="9" borderId="11" xfId="0" applyFill="1" applyBorder="1" applyAlignment="1">
      <alignment horizontal="center" vertical="center"/>
    </xf>
    <xf numFmtId="0" fontId="0" fillId="9" borderId="13" xfId="0" applyFill="1" applyBorder="1" applyAlignment="1">
      <alignment horizontal="center" vertical="center"/>
    </xf>
    <xf numFmtId="0" fontId="0" fillId="9" borderId="12" xfId="0" applyFill="1" applyBorder="1" applyAlignment="1">
      <alignment horizontal="center" vertical="center"/>
    </xf>
    <xf numFmtId="0" fontId="1" fillId="8" borderId="10" xfId="0" applyFont="1" applyFill="1" applyBorder="1" applyAlignment="1">
      <alignment horizontal="center"/>
    </xf>
    <xf numFmtId="0" fontId="0" fillId="8" borderId="10" xfId="0" applyFill="1" applyBorder="1" applyAlignment="1">
      <alignment horizontal="center"/>
    </xf>
    <xf numFmtId="0" fontId="1" fillId="0" borderId="0" xfId="0" applyFont="1" applyFill="1" applyBorder="1" applyAlignment="1">
      <alignment horizontal="center"/>
    </xf>
    <xf numFmtId="0" fontId="0" fillId="0" borderId="0" xfId="0" applyFill="1" applyBorder="1" applyAlignment="1">
      <alignment horizontal="center"/>
    </xf>
    <xf numFmtId="0" fontId="1" fillId="7" borderId="11" xfId="0" applyFont="1" applyFill="1" applyBorder="1" applyAlignment="1">
      <alignment horizontal="center"/>
    </xf>
    <xf numFmtId="0" fontId="1" fillId="7" borderId="13" xfId="0" applyFont="1" applyFill="1" applyBorder="1" applyAlignment="1">
      <alignment horizontal="center"/>
    </xf>
    <xf numFmtId="0" fontId="1" fillId="7" borderId="12" xfId="0" applyFont="1" applyFill="1" applyBorder="1" applyAlignment="1">
      <alignment horizontal="center"/>
    </xf>
    <xf numFmtId="0" fontId="0" fillId="0" borderId="0" xfId="0" applyFill="1"/>
  </cellXfs>
  <cellStyles count="2">
    <cellStyle name="Normal" xfId="0" builtinId="0"/>
    <cellStyle name="Normal 2" xfId="1" xr:uid="{F2F1346C-BE81-4588-B996-FAFD306DF91F}"/>
  </cellStyles>
  <dxfs count="14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quot;₹&quot;\ #,##0"/>
    </dxf>
    <dxf>
      <numFmt numFmtId="14" formatCode="0.00%"/>
    </dxf>
    <dxf>
      <numFmt numFmtId="167" formatCode="&quot;₹&quot;\ #,##0"/>
    </dxf>
    <dxf>
      <numFmt numFmtId="14" formatCode="0.00%"/>
    </dxf>
    <dxf>
      <numFmt numFmtId="167" formatCode="&quot;₹&quot;\ #,##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7"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7" formatCode="&quot;₹&quot;\ #,##0"/>
    </dxf>
    <dxf>
      <numFmt numFmtId="167" formatCode="&quot;₹&quot;\ #,##0"/>
    </dxf>
    <dxf>
      <numFmt numFmtId="167" formatCode="&quot;₹&quot;\ #,##0"/>
    </dxf>
    <dxf>
      <numFmt numFmtId="167" formatCode="&quot;₹&quot;\ #,##0"/>
    </dxf>
    <dxf>
      <numFmt numFmtId="14" formatCode="0.00%"/>
    </dxf>
    <dxf>
      <numFmt numFmtId="167" formatCode="&quot;₹&quot;\ #,##0"/>
    </dxf>
    <dxf>
      <numFmt numFmtId="14" formatCode="0.00%"/>
    </dxf>
    <dxf>
      <numFmt numFmtId="167" formatCode="&quot;₹&quot;\ #,##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alignment vertical="bottom"/>
    </dxf>
    <dxf>
      <alignment vertical="bottom"/>
    </dxf>
    <dxf>
      <numFmt numFmtId="14" formatCode="0.00%"/>
    </dxf>
    <dxf>
      <numFmt numFmtId="14"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alignment vertical="bottom"/>
    </dxf>
    <dxf>
      <alignment vertical="bottom"/>
    </dxf>
    <dxf>
      <numFmt numFmtId="14" formatCode="0.00%"/>
    </dxf>
    <dxf>
      <numFmt numFmtId="14" formatCode="0.00%"/>
    </dxf>
    <dxf>
      <font>
        <b val="0"/>
        <i val="0"/>
        <strike val="0"/>
        <condense val="0"/>
        <extend val="0"/>
        <outline val="0"/>
        <shadow val="0"/>
        <u val="none"/>
        <vertAlign val="baseline"/>
        <sz val="10"/>
        <color auto="1"/>
        <name val="Arial"/>
        <charset val="1"/>
        <scheme val="none"/>
      </font>
      <numFmt numFmtId="165" formatCode="0.0%"/>
      <alignment horizontal="center"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3" formatCode="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0"/>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alignment horizontal="center" vertical="center" textRotation="0" wrapText="0" indent="0" justifyLastLine="0" shrinkToFit="0" readingOrder="0"/>
    </dxf>
    <dxf>
      <border outline="0">
        <bottom style="thin">
          <color rgb="FFBFBFBF"/>
        </bottom>
      </border>
    </dxf>
    <dxf>
      <font>
        <b/>
        <i val="0"/>
        <strike val="0"/>
        <condense val="0"/>
        <extend val="0"/>
        <outline val="0"/>
        <shadow val="0"/>
        <u val="none"/>
        <vertAlign val="baseline"/>
        <sz val="11"/>
        <color rgb="FFFFFFFF"/>
        <name val="Arial"/>
        <charset val="1"/>
        <scheme val="none"/>
      </font>
      <fill>
        <patternFill patternType="solid">
          <fgColor rgb="FF333300"/>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Region</a:t>
            </a:r>
            <a:endParaRPr lang="en-US" b="1">
              <a:solidFill>
                <a:schemeClr val="tx1"/>
              </a:solidFill>
            </a:endParaRP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North</c:v>
                </c:pt>
                <c:pt idx="1">
                  <c:v>South</c:v>
                </c:pt>
                <c:pt idx="2">
                  <c:v>East</c:v>
                </c:pt>
                <c:pt idx="3">
                  <c:v>West</c:v>
                </c:pt>
              </c:strCache>
            </c:strRef>
          </c:cat>
          <c:val>
            <c:numRef>
              <c:f>Sheet4!$B$4:$B$8</c:f>
              <c:numCache>
                <c:formatCode>General</c:formatCode>
                <c:ptCount val="4"/>
                <c:pt idx="0">
                  <c:v>17001100</c:v>
                </c:pt>
                <c:pt idx="1">
                  <c:v>17189600</c:v>
                </c:pt>
                <c:pt idx="2">
                  <c:v>17680900</c:v>
                </c:pt>
                <c:pt idx="3">
                  <c:v>17834200</c:v>
                </c:pt>
              </c:numCache>
            </c:numRef>
          </c:val>
          <c:extLst>
            <c:ext xmlns:c16="http://schemas.microsoft.com/office/drawing/2014/chart" uri="{C3380CC4-5D6E-409C-BE32-E72D297353CC}">
              <c16:uniqueId val="{00000000-9B04-4B54-A777-FB82E5872279}"/>
            </c:ext>
          </c:extLst>
        </c:ser>
        <c:dLbls>
          <c:showLegendKey val="0"/>
          <c:showVal val="0"/>
          <c:showCatName val="0"/>
          <c:showSerName val="0"/>
          <c:showPercent val="0"/>
          <c:showBubbleSize val="0"/>
        </c:dLbls>
        <c:gapWidth val="219"/>
        <c:overlap val="-27"/>
        <c:axId val="1036535808"/>
        <c:axId val="1042026192"/>
      </c:barChart>
      <c:catAx>
        <c:axId val="103653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026192"/>
        <c:crosses val="autoZero"/>
        <c:auto val="1"/>
        <c:lblAlgn val="ctr"/>
        <c:lblOffset val="100"/>
        <c:noMultiLvlLbl val="0"/>
      </c:catAx>
      <c:valAx>
        <c:axId val="1042026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Revenue(₹)</a:t>
                </a:r>
              </a:p>
            </c:rich>
          </c:tx>
          <c:layout>
            <c:manualLayout>
              <c:xMode val="edge"/>
              <c:yMode val="edge"/>
              <c:x val="2.5293593465660461E-2"/>
              <c:y val="0.302850319065567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35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Units Sold By Product</a:t>
            </a:r>
          </a:p>
        </c:rich>
      </c:tx>
      <c:layout>
        <c:manualLayout>
          <c:xMode val="edge"/>
          <c:yMode val="edge"/>
          <c:x val="0.29514566929133862"/>
          <c:y val="2.7777777777777776E-2"/>
        </c:manualLayout>
      </c:layout>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Sheet4!$F$13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Sheet4!$E$14:$E$19</c:f>
              <c:strCache>
                <c:ptCount val="5"/>
                <c:pt idx="0">
                  <c:v>Keyboard</c:v>
                </c:pt>
                <c:pt idx="1">
                  <c:v>Phone</c:v>
                </c:pt>
                <c:pt idx="2">
                  <c:v>Tablet</c:v>
                </c:pt>
                <c:pt idx="3">
                  <c:v>Monitor</c:v>
                </c:pt>
                <c:pt idx="4">
                  <c:v>Laptop</c:v>
                </c:pt>
              </c:strCache>
            </c:strRef>
          </c:cat>
          <c:val>
            <c:numRef>
              <c:f>Sheet4!$F$14:$F$19</c:f>
              <c:numCache>
                <c:formatCode>General</c:formatCode>
                <c:ptCount val="5"/>
                <c:pt idx="0">
                  <c:v>1219</c:v>
                </c:pt>
                <c:pt idx="1">
                  <c:v>764</c:v>
                </c:pt>
                <c:pt idx="2">
                  <c:v>572</c:v>
                </c:pt>
                <c:pt idx="3">
                  <c:v>457</c:v>
                </c:pt>
                <c:pt idx="4">
                  <c:v>340</c:v>
                </c:pt>
              </c:numCache>
            </c:numRef>
          </c:val>
          <c:extLst>
            <c:ext xmlns:c16="http://schemas.microsoft.com/office/drawing/2014/chart" uri="{C3380CC4-5D6E-409C-BE32-E72D297353CC}">
              <c16:uniqueId val="{00000000-56C3-4C7F-B7C6-1A6D929368DC}"/>
            </c:ext>
          </c:extLst>
        </c:ser>
        <c:dLbls>
          <c:dLblPos val="outEnd"/>
          <c:showLegendKey val="0"/>
          <c:showVal val="1"/>
          <c:showCatName val="0"/>
          <c:showSerName val="0"/>
          <c:showPercent val="0"/>
          <c:showBubbleSize val="0"/>
        </c:dLbls>
        <c:gapWidth val="182"/>
        <c:axId val="1274328784"/>
        <c:axId val="1150732960"/>
      </c:barChart>
      <c:catAx>
        <c:axId val="127432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32960"/>
        <c:crosses val="autoZero"/>
        <c:auto val="1"/>
        <c:lblAlgn val="ctr"/>
        <c:lblOffset val="100"/>
        <c:noMultiLvlLbl val="0"/>
      </c:catAx>
      <c:valAx>
        <c:axId val="1150732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32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Share By Product</a:t>
            </a:r>
            <a:endParaRPr lang="en-US" b="1">
              <a:solidFill>
                <a:schemeClr val="tx1"/>
              </a:solidFill>
            </a:endParaRPr>
          </a:p>
        </c:rich>
      </c:tx>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Sheet4!$E$3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2D-439D-BFB5-FFE85B1135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2D-439D-BFB5-FFE85B1135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2D-439D-BFB5-FFE85B1135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2D-439D-BFB5-FFE85B1135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2D-439D-BFB5-FFE85B113597}"/>
              </c:ext>
            </c:extLst>
          </c:dPt>
          <c:cat>
            <c:strRef>
              <c:f>Sheet4!$D$4:$D$9</c:f>
              <c:strCache>
                <c:ptCount val="5"/>
                <c:pt idx="0">
                  <c:v>Keyboard</c:v>
                </c:pt>
                <c:pt idx="1">
                  <c:v>Laptop</c:v>
                </c:pt>
                <c:pt idx="2">
                  <c:v>Monitor</c:v>
                </c:pt>
                <c:pt idx="3">
                  <c:v>Phone</c:v>
                </c:pt>
                <c:pt idx="4">
                  <c:v>Tablet</c:v>
                </c:pt>
              </c:strCache>
            </c:strRef>
          </c:cat>
          <c:val>
            <c:numRef>
              <c:f>Sheet4!$E$4:$E$9</c:f>
              <c:numCache>
                <c:formatCode>0.00%</c:formatCode>
                <c:ptCount val="5"/>
                <c:pt idx="0">
                  <c:v>7.7966252449580956E-2</c:v>
                </c:pt>
                <c:pt idx="1">
                  <c:v>0.31888881556484538</c:v>
                </c:pt>
                <c:pt idx="2">
                  <c:v>0.14300388202990283</c:v>
                </c:pt>
                <c:pt idx="3">
                  <c:v>0.19773390449575215</c:v>
                </c:pt>
                <c:pt idx="4">
                  <c:v>0.26240714545991867</c:v>
                </c:pt>
              </c:numCache>
            </c:numRef>
          </c:val>
          <c:extLst>
            <c:ext xmlns:c16="http://schemas.microsoft.com/office/drawing/2014/chart" uri="{C3380CC4-5D6E-409C-BE32-E72D297353CC}">
              <c16:uniqueId val="{0000000A-812D-439D-BFB5-FFE85B11359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603129481019349"/>
          <c:y val="0.32044943820224725"/>
          <c:w val="0.20137019613762336"/>
          <c:h val="0.59198501872659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Monthly Revenue Trend vs Target</a:t>
            </a:r>
          </a:p>
        </c:rich>
      </c:tx>
      <c:layout>
        <c:manualLayout>
          <c:xMode val="edge"/>
          <c:yMode val="edge"/>
          <c:x val="0.20079554494828955"/>
          <c:y val="4.1666666666666664E-2"/>
        </c:manualLayout>
      </c:layout>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10331410637089"/>
          <c:y val="0.22895072856553347"/>
          <c:w val="0.83108639415180541"/>
          <c:h val="0.50652498615970942"/>
        </c:manualLayout>
      </c:layout>
      <c:bar3DChart>
        <c:barDir val="col"/>
        <c:grouping val="clustered"/>
        <c:varyColors val="0"/>
        <c:ser>
          <c:idx val="0"/>
          <c:order val="0"/>
          <c:tx>
            <c:strRef>
              <c:f>Sheet4!$B$12</c:f>
              <c:strCache>
                <c:ptCount val="1"/>
                <c:pt idx="0">
                  <c:v>Total Revenue</c:v>
                </c:pt>
              </c:strCache>
            </c:strRef>
          </c:tx>
          <c:spPr>
            <a:solidFill>
              <a:schemeClr val="accent1"/>
            </a:solidFill>
            <a:ln>
              <a:noFill/>
            </a:ln>
            <a:effectLst/>
            <a:sp3d/>
          </c:spPr>
          <c:invertIfNegative val="0"/>
          <c:cat>
            <c:strRef>
              <c:f>Sheet4!$A$13:$A$25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Sheet4!$B$13:$B$25</c:f>
              <c:numCache>
                <c:formatCode>General</c:formatCode>
                <c:ptCount val="12"/>
                <c:pt idx="0">
                  <c:v>5773600</c:v>
                </c:pt>
                <c:pt idx="1">
                  <c:v>5932100</c:v>
                </c:pt>
                <c:pt idx="2">
                  <c:v>5512900</c:v>
                </c:pt>
                <c:pt idx="3">
                  <c:v>5352400</c:v>
                </c:pt>
                <c:pt idx="4">
                  <c:v>5506100</c:v>
                </c:pt>
                <c:pt idx="5">
                  <c:v>6089400</c:v>
                </c:pt>
                <c:pt idx="6">
                  <c:v>6766200</c:v>
                </c:pt>
                <c:pt idx="7">
                  <c:v>5256700</c:v>
                </c:pt>
                <c:pt idx="8">
                  <c:v>5802900</c:v>
                </c:pt>
                <c:pt idx="9">
                  <c:v>5243100</c:v>
                </c:pt>
                <c:pt idx="10">
                  <c:v>6487100</c:v>
                </c:pt>
                <c:pt idx="11">
                  <c:v>5983300</c:v>
                </c:pt>
              </c:numCache>
            </c:numRef>
          </c:val>
          <c:extLst>
            <c:ext xmlns:c16="http://schemas.microsoft.com/office/drawing/2014/chart" uri="{C3380CC4-5D6E-409C-BE32-E72D297353CC}">
              <c16:uniqueId val="{00000000-61BC-4BE5-A4B7-FAEF96AE17F1}"/>
            </c:ext>
          </c:extLst>
        </c:ser>
        <c:ser>
          <c:idx val="1"/>
          <c:order val="1"/>
          <c:tx>
            <c:strRef>
              <c:f>Sheet4!$C$12</c:f>
              <c:strCache>
                <c:ptCount val="1"/>
                <c:pt idx="0">
                  <c:v>Targetted Revenue</c:v>
                </c:pt>
              </c:strCache>
            </c:strRef>
          </c:tx>
          <c:spPr>
            <a:solidFill>
              <a:schemeClr val="accent2"/>
            </a:solidFill>
            <a:ln>
              <a:noFill/>
            </a:ln>
            <a:effectLst/>
            <a:sp3d/>
          </c:spPr>
          <c:invertIfNegative val="0"/>
          <c:cat>
            <c:strRef>
              <c:f>Sheet4!$A$13:$A$25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Sheet4!$C$13:$C$25</c:f>
              <c:numCache>
                <c:formatCode>General</c:formatCode>
                <c:ptCount val="12"/>
                <c:pt idx="0">
                  <c:v>5937000</c:v>
                </c:pt>
                <c:pt idx="1">
                  <c:v>6810000</c:v>
                </c:pt>
                <c:pt idx="2">
                  <c:v>5631000</c:v>
                </c:pt>
                <c:pt idx="3">
                  <c:v>5961000</c:v>
                </c:pt>
                <c:pt idx="4">
                  <c:v>5586000</c:v>
                </c:pt>
                <c:pt idx="5">
                  <c:v>6184000</c:v>
                </c:pt>
                <c:pt idx="6">
                  <c:v>6910000</c:v>
                </c:pt>
                <c:pt idx="7">
                  <c:v>5396000</c:v>
                </c:pt>
                <c:pt idx="8">
                  <c:v>6156000</c:v>
                </c:pt>
                <c:pt idx="9">
                  <c:v>5705000</c:v>
                </c:pt>
                <c:pt idx="10">
                  <c:v>7161000</c:v>
                </c:pt>
                <c:pt idx="11">
                  <c:v>6613000</c:v>
                </c:pt>
              </c:numCache>
            </c:numRef>
          </c:val>
          <c:extLst>
            <c:ext xmlns:c16="http://schemas.microsoft.com/office/drawing/2014/chart" uri="{C3380CC4-5D6E-409C-BE32-E72D297353CC}">
              <c16:uniqueId val="{00000001-61BC-4BE5-A4B7-FAEF96AE17F1}"/>
            </c:ext>
          </c:extLst>
        </c:ser>
        <c:dLbls>
          <c:showLegendKey val="0"/>
          <c:showVal val="0"/>
          <c:showCatName val="0"/>
          <c:showSerName val="0"/>
          <c:showPercent val="0"/>
          <c:showBubbleSize val="0"/>
        </c:dLbls>
        <c:gapWidth val="150"/>
        <c:shape val="box"/>
        <c:axId val="1032997840"/>
        <c:axId val="1145370960"/>
        <c:axId val="0"/>
      </c:bar3DChart>
      <c:catAx>
        <c:axId val="10329978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70960"/>
        <c:crosses val="autoZero"/>
        <c:auto val="1"/>
        <c:lblAlgn val="ctr"/>
        <c:lblOffset val="100"/>
        <c:noMultiLvlLbl val="0"/>
      </c:catAx>
      <c:valAx>
        <c:axId val="114537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997840"/>
        <c:crosses val="autoZero"/>
        <c:crossBetween val="between"/>
      </c:valAx>
      <c:spPr>
        <a:noFill/>
        <a:ln>
          <a:noFill/>
        </a:ln>
        <a:effectLst/>
      </c:spPr>
    </c:plotArea>
    <c:legend>
      <c:legendPos val="b"/>
      <c:layout>
        <c:manualLayout>
          <c:xMode val="edge"/>
          <c:yMode val="edge"/>
          <c:x val="0.23700803682904706"/>
          <c:y val="0.88631714120595972"/>
          <c:w val="0.52056370247297068"/>
          <c:h val="7.3123152096106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Region</a:t>
            </a:r>
            <a:endParaRPr lang="en-US" b="1">
              <a:solidFill>
                <a:schemeClr val="tx1"/>
              </a:solidFill>
            </a:endParaRP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North</c:v>
                </c:pt>
                <c:pt idx="1">
                  <c:v>South</c:v>
                </c:pt>
                <c:pt idx="2">
                  <c:v>East</c:v>
                </c:pt>
                <c:pt idx="3">
                  <c:v>West</c:v>
                </c:pt>
              </c:strCache>
            </c:strRef>
          </c:cat>
          <c:val>
            <c:numRef>
              <c:f>Sheet4!$B$4:$B$8</c:f>
              <c:numCache>
                <c:formatCode>General</c:formatCode>
                <c:ptCount val="4"/>
                <c:pt idx="0">
                  <c:v>17001100</c:v>
                </c:pt>
                <c:pt idx="1">
                  <c:v>17189600</c:v>
                </c:pt>
                <c:pt idx="2">
                  <c:v>17680900</c:v>
                </c:pt>
                <c:pt idx="3">
                  <c:v>17834200</c:v>
                </c:pt>
              </c:numCache>
            </c:numRef>
          </c:val>
          <c:extLst>
            <c:ext xmlns:c16="http://schemas.microsoft.com/office/drawing/2014/chart" uri="{C3380CC4-5D6E-409C-BE32-E72D297353CC}">
              <c16:uniqueId val="{00000000-7E02-4538-BCD7-711B80932866}"/>
            </c:ext>
          </c:extLst>
        </c:ser>
        <c:dLbls>
          <c:showLegendKey val="0"/>
          <c:showVal val="0"/>
          <c:showCatName val="0"/>
          <c:showSerName val="0"/>
          <c:showPercent val="0"/>
          <c:showBubbleSize val="0"/>
        </c:dLbls>
        <c:gapWidth val="219"/>
        <c:overlap val="-27"/>
        <c:axId val="1036535808"/>
        <c:axId val="1042026192"/>
      </c:barChart>
      <c:catAx>
        <c:axId val="103653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026192"/>
        <c:crosses val="autoZero"/>
        <c:auto val="1"/>
        <c:lblAlgn val="ctr"/>
        <c:lblOffset val="100"/>
        <c:noMultiLvlLbl val="0"/>
      </c:catAx>
      <c:valAx>
        <c:axId val="1042026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t>Revenue(₹)</a:t>
                </a:r>
              </a:p>
            </c:rich>
          </c:tx>
          <c:layout>
            <c:manualLayout>
              <c:xMode val="edge"/>
              <c:yMode val="edge"/>
              <c:x val="2.5293593465660461E-2"/>
              <c:y val="0.302850319065567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35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Share By Product</a:t>
            </a:r>
            <a:endParaRPr lang="en-US" b="1">
              <a:solidFill>
                <a:schemeClr val="tx1"/>
              </a:solidFill>
            </a:endParaRPr>
          </a:p>
        </c:rich>
      </c:tx>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Sheet4!$E$3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7B-4350-945D-D147BB6A1D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7B-4350-945D-D147BB6A1D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7B-4350-945D-D147BB6A1D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7B-4350-945D-D147BB6A1D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97B-4350-945D-D147BB6A1D54}"/>
              </c:ext>
            </c:extLst>
          </c:dPt>
          <c:cat>
            <c:strRef>
              <c:f>Sheet4!$D$4:$D$9</c:f>
              <c:strCache>
                <c:ptCount val="5"/>
                <c:pt idx="0">
                  <c:v>Keyboard</c:v>
                </c:pt>
                <c:pt idx="1">
                  <c:v>Laptop</c:v>
                </c:pt>
                <c:pt idx="2">
                  <c:v>Monitor</c:v>
                </c:pt>
                <c:pt idx="3">
                  <c:v>Phone</c:v>
                </c:pt>
                <c:pt idx="4">
                  <c:v>Tablet</c:v>
                </c:pt>
              </c:strCache>
            </c:strRef>
          </c:cat>
          <c:val>
            <c:numRef>
              <c:f>Sheet4!$E$4:$E$9</c:f>
              <c:numCache>
                <c:formatCode>0.00%</c:formatCode>
                <c:ptCount val="5"/>
                <c:pt idx="0">
                  <c:v>7.7966252449580956E-2</c:v>
                </c:pt>
                <c:pt idx="1">
                  <c:v>0.31888881556484538</c:v>
                </c:pt>
                <c:pt idx="2">
                  <c:v>0.14300388202990283</c:v>
                </c:pt>
                <c:pt idx="3">
                  <c:v>0.19773390449575215</c:v>
                </c:pt>
                <c:pt idx="4">
                  <c:v>0.26240714545991867</c:v>
                </c:pt>
              </c:numCache>
            </c:numRef>
          </c:val>
          <c:extLst>
            <c:ext xmlns:c16="http://schemas.microsoft.com/office/drawing/2014/chart" uri="{C3380CC4-5D6E-409C-BE32-E72D297353CC}">
              <c16:uniqueId val="{0000000A-097B-4350-945D-D147BB6A1D5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603129481019349"/>
          <c:y val="0.32044943820224725"/>
          <c:w val="0.20137019613762336"/>
          <c:h val="0.59198501872659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Monthly Revenue Trend vs Target</a:t>
            </a:r>
          </a:p>
        </c:rich>
      </c:tx>
      <c:layout>
        <c:manualLayout>
          <c:xMode val="edge"/>
          <c:yMode val="edge"/>
          <c:x val="0.20079554494828955"/>
          <c:y val="4.1666666666666664E-2"/>
        </c:manualLayout>
      </c:layout>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10331410637089"/>
          <c:y val="0.22895072856553347"/>
          <c:w val="0.83108639415180541"/>
          <c:h val="0.50652498615970942"/>
        </c:manualLayout>
      </c:layout>
      <c:bar3DChart>
        <c:barDir val="col"/>
        <c:grouping val="clustered"/>
        <c:varyColors val="0"/>
        <c:ser>
          <c:idx val="0"/>
          <c:order val="0"/>
          <c:tx>
            <c:strRef>
              <c:f>Sheet4!$B$12</c:f>
              <c:strCache>
                <c:ptCount val="1"/>
                <c:pt idx="0">
                  <c:v>Total Revenue</c:v>
                </c:pt>
              </c:strCache>
            </c:strRef>
          </c:tx>
          <c:spPr>
            <a:solidFill>
              <a:schemeClr val="accent1"/>
            </a:solidFill>
            <a:ln>
              <a:noFill/>
            </a:ln>
            <a:effectLst/>
            <a:sp3d/>
          </c:spPr>
          <c:invertIfNegative val="0"/>
          <c:cat>
            <c:strRef>
              <c:f>Sheet4!$A$13:$A$25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Sheet4!$B$13:$B$25</c:f>
              <c:numCache>
                <c:formatCode>General</c:formatCode>
                <c:ptCount val="12"/>
                <c:pt idx="0">
                  <c:v>5773600</c:v>
                </c:pt>
                <c:pt idx="1">
                  <c:v>5932100</c:v>
                </c:pt>
                <c:pt idx="2">
                  <c:v>5512900</c:v>
                </c:pt>
                <c:pt idx="3">
                  <c:v>5352400</c:v>
                </c:pt>
                <c:pt idx="4">
                  <c:v>5506100</c:v>
                </c:pt>
                <c:pt idx="5">
                  <c:v>6089400</c:v>
                </c:pt>
                <c:pt idx="6">
                  <c:v>6766200</c:v>
                </c:pt>
                <c:pt idx="7">
                  <c:v>5256700</c:v>
                </c:pt>
                <c:pt idx="8">
                  <c:v>5802900</c:v>
                </c:pt>
                <c:pt idx="9">
                  <c:v>5243100</c:v>
                </c:pt>
                <c:pt idx="10">
                  <c:v>6487100</c:v>
                </c:pt>
                <c:pt idx="11">
                  <c:v>5983300</c:v>
                </c:pt>
              </c:numCache>
            </c:numRef>
          </c:val>
          <c:extLst>
            <c:ext xmlns:c16="http://schemas.microsoft.com/office/drawing/2014/chart" uri="{C3380CC4-5D6E-409C-BE32-E72D297353CC}">
              <c16:uniqueId val="{00000000-5996-4C9B-A9E7-1FCB2BF4B67E}"/>
            </c:ext>
          </c:extLst>
        </c:ser>
        <c:ser>
          <c:idx val="1"/>
          <c:order val="1"/>
          <c:tx>
            <c:strRef>
              <c:f>Sheet4!$C$12</c:f>
              <c:strCache>
                <c:ptCount val="1"/>
                <c:pt idx="0">
                  <c:v>Targetted Revenue</c:v>
                </c:pt>
              </c:strCache>
            </c:strRef>
          </c:tx>
          <c:spPr>
            <a:solidFill>
              <a:schemeClr val="accent2"/>
            </a:solidFill>
            <a:ln>
              <a:noFill/>
            </a:ln>
            <a:effectLst/>
            <a:sp3d/>
          </c:spPr>
          <c:invertIfNegative val="0"/>
          <c:cat>
            <c:strRef>
              <c:f>Sheet4!$A$13:$A$25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Sheet4!$C$13:$C$25</c:f>
              <c:numCache>
                <c:formatCode>General</c:formatCode>
                <c:ptCount val="12"/>
                <c:pt idx="0">
                  <c:v>5937000</c:v>
                </c:pt>
                <c:pt idx="1">
                  <c:v>6810000</c:v>
                </c:pt>
                <c:pt idx="2">
                  <c:v>5631000</c:v>
                </c:pt>
                <c:pt idx="3">
                  <c:v>5961000</c:v>
                </c:pt>
                <c:pt idx="4">
                  <c:v>5586000</c:v>
                </c:pt>
                <c:pt idx="5">
                  <c:v>6184000</c:v>
                </c:pt>
                <c:pt idx="6">
                  <c:v>6910000</c:v>
                </c:pt>
                <c:pt idx="7">
                  <c:v>5396000</c:v>
                </c:pt>
                <c:pt idx="8">
                  <c:v>6156000</c:v>
                </c:pt>
                <c:pt idx="9">
                  <c:v>5705000</c:v>
                </c:pt>
                <c:pt idx="10">
                  <c:v>7161000</c:v>
                </c:pt>
                <c:pt idx="11">
                  <c:v>6613000</c:v>
                </c:pt>
              </c:numCache>
            </c:numRef>
          </c:val>
          <c:extLst>
            <c:ext xmlns:c16="http://schemas.microsoft.com/office/drawing/2014/chart" uri="{C3380CC4-5D6E-409C-BE32-E72D297353CC}">
              <c16:uniqueId val="{00000001-5996-4C9B-A9E7-1FCB2BF4B67E}"/>
            </c:ext>
          </c:extLst>
        </c:ser>
        <c:dLbls>
          <c:showLegendKey val="0"/>
          <c:showVal val="0"/>
          <c:showCatName val="0"/>
          <c:showSerName val="0"/>
          <c:showPercent val="0"/>
          <c:showBubbleSize val="0"/>
        </c:dLbls>
        <c:gapWidth val="150"/>
        <c:shape val="box"/>
        <c:axId val="1032997840"/>
        <c:axId val="1145370960"/>
        <c:axId val="0"/>
      </c:bar3DChart>
      <c:catAx>
        <c:axId val="10329978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70960"/>
        <c:crosses val="autoZero"/>
        <c:auto val="1"/>
        <c:lblAlgn val="ctr"/>
        <c:lblOffset val="100"/>
        <c:noMultiLvlLbl val="0"/>
      </c:catAx>
      <c:valAx>
        <c:axId val="114537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997840"/>
        <c:crosses val="autoZero"/>
        <c:crossBetween val="between"/>
      </c:valAx>
      <c:spPr>
        <a:noFill/>
        <a:ln>
          <a:noFill/>
        </a:ln>
        <a:effectLst/>
      </c:spPr>
    </c:plotArea>
    <c:legend>
      <c:legendPos val="b"/>
      <c:layout>
        <c:manualLayout>
          <c:xMode val="edge"/>
          <c:yMode val="edge"/>
          <c:x val="0.23700803682904706"/>
          <c:y val="0.88631714120595972"/>
          <c:w val="0.52056370247297068"/>
          <c:h val="7.3123152096106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GitHub.xlsx]Sheet4!PivotTable7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Units Sold By Product</a:t>
            </a:r>
          </a:p>
        </c:rich>
      </c:tx>
      <c:layout>
        <c:manualLayout>
          <c:xMode val="edge"/>
          <c:yMode val="edge"/>
          <c:x val="0.29514566929133862"/>
          <c:y val="2.7777777777777776E-2"/>
        </c:manualLayout>
      </c:layout>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Sheet4!$F$13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Sheet4!$E$14:$E$19</c:f>
              <c:strCache>
                <c:ptCount val="5"/>
                <c:pt idx="0">
                  <c:v>Keyboard</c:v>
                </c:pt>
                <c:pt idx="1">
                  <c:v>Phone</c:v>
                </c:pt>
                <c:pt idx="2">
                  <c:v>Tablet</c:v>
                </c:pt>
                <c:pt idx="3">
                  <c:v>Monitor</c:v>
                </c:pt>
                <c:pt idx="4">
                  <c:v>Laptop</c:v>
                </c:pt>
              </c:strCache>
            </c:strRef>
          </c:cat>
          <c:val>
            <c:numRef>
              <c:f>Sheet4!$F$14:$F$19</c:f>
              <c:numCache>
                <c:formatCode>General</c:formatCode>
                <c:ptCount val="5"/>
                <c:pt idx="0">
                  <c:v>1219</c:v>
                </c:pt>
                <c:pt idx="1">
                  <c:v>764</c:v>
                </c:pt>
                <c:pt idx="2">
                  <c:v>572</c:v>
                </c:pt>
                <c:pt idx="3">
                  <c:v>457</c:v>
                </c:pt>
                <c:pt idx="4">
                  <c:v>340</c:v>
                </c:pt>
              </c:numCache>
            </c:numRef>
          </c:val>
          <c:extLst>
            <c:ext xmlns:c16="http://schemas.microsoft.com/office/drawing/2014/chart" uri="{C3380CC4-5D6E-409C-BE32-E72D297353CC}">
              <c16:uniqueId val="{00000000-6BE1-485F-B81B-099A47442F08}"/>
            </c:ext>
          </c:extLst>
        </c:ser>
        <c:dLbls>
          <c:dLblPos val="outEnd"/>
          <c:showLegendKey val="0"/>
          <c:showVal val="1"/>
          <c:showCatName val="0"/>
          <c:showSerName val="0"/>
          <c:showPercent val="0"/>
          <c:showBubbleSize val="0"/>
        </c:dLbls>
        <c:gapWidth val="182"/>
        <c:axId val="1274328784"/>
        <c:axId val="1150732960"/>
      </c:barChart>
      <c:catAx>
        <c:axId val="127432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32960"/>
        <c:crosses val="autoZero"/>
        <c:auto val="1"/>
        <c:lblAlgn val="ctr"/>
        <c:lblOffset val="100"/>
        <c:noMultiLvlLbl val="0"/>
      </c:catAx>
      <c:valAx>
        <c:axId val="1150732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32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190500</xdr:colOff>
      <xdr:row>11</xdr:row>
      <xdr:rowOff>161925</xdr:rowOff>
    </xdr:to>
    <xdr:graphicFrame macro="">
      <xdr:nvGraphicFramePr>
        <xdr:cNvPr id="2" name="Chart 1">
          <a:extLst>
            <a:ext uri="{FF2B5EF4-FFF2-40B4-BE49-F238E27FC236}">
              <a16:creationId xmlns:a16="http://schemas.microsoft.com/office/drawing/2014/main" id="{27015211-FC3C-4EB9-93F8-442E23FB3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361949</xdr:colOff>
      <xdr:row>0</xdr:row>
      <xdr:rowOff>0</xdr:rowOff>
    </xdr:from>
    <xdr:to>
      <xdr:col>15</xdr:col>
      <xdr:colOff>47624</xdr:colOff>
      <xdr:row>12</xdr:row>
      <xdr:rowOff>0</xdr:rowOff>
    </xdr:to>
    <xdr:graphicFrame macro="">
      <xdr:nvGraphicFramePr>
        <xdr:cNvPr id="3" name="Chart 2">
          <a:extLst>
            <a:ext uri="{FF2B5EF4-FFF2-40B4-BE49-F238E27FC236}">
              <a16:creationId xmlns:a16="http://schemas.microsoft.com/office/drawing/2014/main" id="{0C2A3104-1A06-4A04-B7BE-9755C37AF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38099</xdr:colOff>
      <xdr:row>12</xdr:row>
      <xdr:rowOff>104774</xdr:rowOff>
    </xdr:from>
    <xdr:to>
      <xdr:col>7</xdr:col>
      <xdr:colOff>28574</xdr:colOff>
      <xdr:row>24</xdr:row>
      <xdr:rowOff>76199</xdr:rowOff>
    </xdr:to>
    <xdr:graphicFrame macro="">
      <xdr:nvGraphicFramePr>
        <xdr:cNvPr id="4" name="Chart 3">
          <a:extLst>
            <a:ext uri="{FF2B5EF4-FFF2-40B4-BE49-F238E27FC236}">
              <a16:creationId xmlns:a16="http://schemas.microsoft.com/office/drawing/2014/main" id="{3186F5E4-2D40-455F-9A3C-97ACD37D6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295275</xdr:colOff>
      <xdr:row>12</xdr:row>
      <xdr:rowOff>142875</xdr:rowOff>
    </xdr:from>
    <xdr:to>
      <xdr:col>15</xdr:col>
      <xdr:colOff>600075</xdr:colOff>
      <xdr:row>24</xdr:row>
      <xdr:rowOff>66675</xdr:rowOff>
    </xdr:to>
    <xdr:graphicFrame macro="">
      <xdr:nvGraphicFramePr>
        <xdr:cNvPr id="5" name="Chart 4">
          <a:extLst>
            <a:ext uri="{FF2B5EF4-FFF2-40B4-BE49-F238E27FC236}">
              <a16:creationId xmlns:a16="http://schemas.microsoft.com/office/drawing/2014/main" id="{FC68D8AB-4A74-44E5-8236-13A484E88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19050</xdr:rowOff>
    </xdr:from>
    <xdr:to>
      <xdr:col>5</xdr:col>
      <xdr:colOff>438150</xdr:colOff>
      <xdr:row>16</xdr:row>
      <xdr:rowOff>9525</xdr:rowOff>
    </xdr:to>
    <xdr:graphicFrame macro="">
      <xdr:nvGraphicFramePr>
        <xdr:cNvPr id="2" name="Chart 1">
          <a:extLst>
            <a:ext uri="{FF2B5EF4-FFF2-40B4-BE49-F238E27FC236}">
              <a16:creationId xmlns:a16="http://schemas.microsoft.com/office/drawing/2014/main" id="{64990CCF-CEFE-4050-BFCD-7D8B018A6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16</xdr:row>
      <xdr:rowOff>38100</xdr:rowOff>
    </xdr:from>
    <xdr:to>
      <xdr:col>5</xdr:col>
      <xdr:colOff>133350</xdr:colOff>
      <xdr:row>25</xdr:row>
      <xdr:rowOff>123825</xdr:rowOff>
    </xdr:to>
    <xdr:graphicFrame macro="">
      <xdr:nvGraphicFramePr>
        <xdr:cNvPr id="11" name="Chart 10">
          <a:extLst>
            <a:ext uri="{FF2B5EF4-FFF2-40B4-BE49-F238E27FC236}">
              <a16:creationId xmlns:a16="http://schemas.microsoft.com/office/drawing/2014/main" id="{66069F4A-3FBD-49FA-8B2D-79FC1C527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57150</xdr:colOff>
      <xdr:row>3</xdr:row>
      <xdr:rowOff>19051</xdr:rowOff>
    </xdr:from>
    <xdr:to>
      <xdr:col>17</xdr:col>
      <xdr:colOff>476251</xdr:colOff>
      <xdr:row>16</xdr:row>
      <xdr:rowOff>28575</xdr:rowOff>
    </xdr:to>
    <xdr:graphicFrame macro="">
      <xdr:nvGraphicFramePr>
        <xdr:cNvPr id="13" name="Chart 12">
          <a:extLst>
            <a:ext uri="{FF2B5EF4-FFF2-40B4-BE49-F238E27FC236}">
              <a16:creationId xmlns:a16="http://schemas.microsoft.com/office/drawing/2014/main" id="{EDB27584-22AF-4948-8413-ABF295CD0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57149</xdr:colOff>
      <xdr:row>3</xdr:row>
      <xdr:rowOff>9524</xdr:rowOff>
    </xdr:from>
    <xdr:to>
      <xdr:col>10</xdr:col>
      <xdr:colOff>771524</xdr:colOff>
      <xdr:row>16</xdr:row>
      <xdr:rowOff>9525</xdr:rowOff>
    </xdr:to>
    <xdr:graphicFrame macro="">
      <xdr:nvGraphicFramePr>
        <xdr:cNvPr id="14" name="Chart 13">
          <a:extLst>
            <a:ext uri="{FF2B5EF4-FFF2-40B4-BE49-F238E27FC236}">
              <a16:creationId xmlns:a16="http://schemas.microsoft.com/office/drawing/2014/main" id="{EA9E34EF-6799-4AB3-93E8-E5EC77D0D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114300</xdr:colOff>
      <xdr:row>16</xdr:row>
      <xdr:rowOff>57151</xdr:rowOff>
    </xdr:from>
    <xdr:to>
      <xdr:col>16</xdr:col>
      <xdr:colOff>152400</xdr:colOff>
      <xdr:row>25</xdr:row>
      <xdr:rowOff>57151</xdr:rowOff>
    </xdr:to>
    <mc:AlternateContent xmlns:mc="http://schemas.openxmlformats.org/markup-compatibility/2006">
      <mc:Choice xmlns:a14="http://schemas.microsoft.com/office/drawing/2010/main" Requires="a14">
        <xdr:graphicFrame macro="">
          <xdr:nvGraphicFramePr>
            <xdr:cNvPr id="19" name="Product">
              <a:extLst>
                <a:ext uri="{FF2B5EF4-FFF2-40B4-BE49-F238E27FC236}">
                  <a16:creationId xmlns:a16="http://schemas.microsoft.com/office/drawing/2014/main" id="{44A6AE34-D7F5-4B93-B7E5-6CA03F73939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353675" y="3105151"/>
              <a:ext cx="12573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152400</xdr:colOff>
      <xdr:row>17</xdr:row>
      <xdr:rowOff>152401</xdr:rowOff>
    </xdr:from>
    <xdr:to>
      <xdr:col>14</xdr:col>
      <xdr:colOff>85725</xdr:colOff>
      <xdr:row>25</xdr:row>
      <xdr:rowOff>57150</xdr:rowOff>
    </xdr:to>
    <mc:AlternateContent xmlns:mc="http://schemas.openxmlformats.org/markup-compatibility/2006">
      <mc:Choice xmlns:a14="http://schemas.microsoft.com/office/drawing/2010/main" Requires="a14">
        <xdr:graphicFrame macro="">
          <xdr:nvGraphicFramePr>
            <xdr:cNvPr id="23" name="Region">
              <a:extLst>
                <a:ext uri="{FF2B5EF4-FFF2-40B4-BE49-F238E27FC236}">
                  <a16:creationId xmlns:a16="http://schemas.microsoft.com/office/drawing/2014/main" id="{A7AF2EAD-2ECB-47C0-8783-CFC617FCFE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72575" y="3390901"/>
              <a:ext cx="1152525" cy="1428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_owner" refreshedDate="46149.62191840278" createdVersion="6" refreshedVersion="6" minRefreshableVersion="3" recordCount="240" xr:uid="{62E30702-A2BE-493B-944C-0C95902AAFB1}">
  <cacheSource type="worksheet">
    <worksheetSource name="Table2"/>
  </cacheSource>
  <cacheFields count="18">
    <cacheField name="Order ID" numFmtId="0">
      <sharedItems containsSemiMixedTypes="0" containsString="0" containsNumber="1" containsInteger="1" minValue="1001" maxValue="1240"/>
    </cacheField>
    <cacheField name="Month" numFmtId="0">
      <sharedItems count="12">
        <s v="Jan"/>
        <s v="Feb"/>
        <s v="Mar"/>
        <s v="Apr"/>
        <s v="May"/>
        <s v="Jun"/>
        <s v="Jul"/>
        <s v="Aug"/>
        <s v="Sep"/>
        <s v="Oct"/>
        <s v="Nov"/>
        <s v="Dec"/>
      </sharedItems>
    </cacheField>
    <cacheField name="Quarter" numFmtId="0">
      <sharedItems count="4">
        <s v="Q1"/>
        <s v="Q2"/>
        <s v="Q3"/>
        <s v="Q4"/>
      </sharedItems>
    </cacheField>
    <cacheField name="Region" numFmtId="0">
      <sharedItems count="4">
        <s v="North"/>
        <s v="South"/>
        <s v="East"/>
        <s v="West"/>
      </sharedItems>
    </cacheField>
    <cacheField name="Sales Rep" numFmtId="0">
      <sharedItems count="8">
        <s v="Priya Sharma"/>
        <s v="Arjun Mehta"/>
        <s v="Kavya Reddy"/>
        <s v="Suresh Babu"/>
        <s v="Rohit Das"/>
        <s v="Ananya Sen"/>
        <s v="Vikram Patel"/>
        <s v="Deepika Joshi"/>
      </sharedItems>
    </cacheField>
    <cacheField name="Product" numFmtId="0">
      <sharedItems count="5">
        <s v="Laptop"/>
        <s v="Tablet"/>
        <s v="Phone"/>
        <s v="Monitor"/>
        <s v="Keyboard"/>
      </sharedItems>
    </cacheField>
    <cacheField name="Units Sold" numFmtId="0">
      <sharedItems containsSemiMixedTypes="0" containsString="0" containsNumber="1" containsInteger="1" minValue="3" maxValue="40" count="34">
        <n v="3"/>
        <n v="15"/>
        <n v="9"/>
        <n v="12"/>
        <n v="17"/>
        <n v="5"/>
        <n v="19"/>
        <n v="10"/>
        <n v="28"/>
        <n v="7"/>
        <n v="14"/>
        <n v="13"/>
        <n v="24"/>
        <n v="8"/>
        <n v="6"/>
        <n v="33"/>
        <n v="20"/>
        <n v="34"/>
        <n v="25"/>
        <n v="16"/>
        <n v="22"/>
        <n v="4"/>
        <n v="11"/>
        <n v="23"/>
        <n v="38"/>
        <n v="31"/>
        <n v="36"/>
        <n v="35"/>
        <n v="18"/>
        <n v="21"/>
        <n v="40"/>
        <n v="27"/>
        <n v="30"/>
        <n v="37"/>
      </sharedItems>
    </cacheField>
    <cacheField name="Unit Price (₹)" numFmtId="164">
      <sharedItems containsSemiMixedTypes="0" containsString="0" containsNumber="1" containsInteger="1" minValue="4100" maxValue="71300"/>
    </cacheField>
    <cacheField name="Revenue (₹)" numFmtId="164">
      <sharedItems containsSemiMixedTypes="0" containsString="0" containsNumber="1" containsInteger="1" minValue="41000" maxValue="836400" count="226">
        <n v="204300"/>
        <n v="502500"/>
        <n v="146700"/>
        <n v="248400"/>
        <n v="76500"/>
        <n v="338000"/>
        <n v="527000"/>
        <n v="349600"/>
        <n v="201000"/>
        <n v="117600"/>
        <n v="499100"/>
        <n v="285300"/>
        <n v="260400"/>
        <n v="293800"/>
        <n v="105600"/>
        <n v="556000"/>
        <n v="523600"/>
        <n v="126000"/>
        <n v="151800"/>
        <n v="325500"/>
        <n v="229600"/>
        <n v="352000"/>
        <n v="322000"/>
        <n v="156400"/>
        <n v="585000"/>
        <n v="438100"/>
        <n v="441600"/>
        <n v="288000"/>
        <n v="102500"/>
        <n v="355800"/>
        <n v="510400"/>
        <n v="223200"/>
        <n v="167300"/>
        <n v="107800"/>
        <n v="246800"/>
        <n v="422800"/>
        <n v="246000"/>
        <n v="249600"/>
        <n v="161700"/>
        <n v="690000"/>
        <n v="315000"/>
        <n v="180400"/>
        <n v="144200"/>
        <n v="64500"/>
        <n v="208200"/>
        <n v="391000"/>
        <n v="198000"/>
        <n v="83600"/>
        <n v="305000"/>
        <n v="492800"/>
        <n v="177300"/>
        <n v="261300"/>
        <n v="128800"/>
        <n v="428400"/>
        <n v="325600"/>
        <n v="162000"/>
        <n v="111000"/>
        <n v="155800"/>
        <n v="693000"/>
        <n v="510000"/>
        <n v="206400"/>
        <n v="168000"/>
        <n v="142600"/>
        <n v="179100"/>
        <n v="154500"/>
        <n v="245700"/>
        <n v="100500"/>
        <n v="158400"/>
        <n v="187500"/>
        <n v="456000"/>
        <n v="234000"/>
        <n v="199000"/>
        <n v="164500"/>
        <n v="343500"/>
        <n v="572400"/>
        <n v="328700"/>
        <n v="212000"/>
        <n v="96600"/>
        <n v="180000"/>
        <n v="147500"/>
        <n v="386400"/>
        <n v="160000"/>
        <n v="92400"/>
        <n v="271600"/>
        <n v="314000"/>
        <n v="390600"/>
        <n v="289900"/>
        <n v="81700"/>
        <n v="642000"/>
        <n v="588200"/>
        <n v="307700"/>
        <n v="159600"/>
        <n v="41000"/>
        <n v="639000"/>
        <n v="376800"/>
        <n v="209000"/>
        <n v="89200"/>
        <n v="139500"/>
        <n v="829200"/>
        <n v="235200"/>
        <n v="304000"/>
        <n v="173600"/>
        <n v="86000"/>
        <n v="381000"/>
        <n v="345400"/>
        <n v="268800"/>
        <n v="279500"/>
        <n v="149600"/>
        <n v="614000"/>
        <n v="331000"/>
        <n v="236400"/>
        <n v="67200"/>
        <n v="490400"/>
        <n v="302400"/>
        <n v="374900"/>
        <n v="158900"/>
        <n v="172000"/>
        <n v="323500"/>
        <n v="399600"/>
        <n v="256100"/>
        <n v="296400"/>
        <n v="55200"/>
        <n v="828000"/>
        <n v="409500"/>
        <n v="154400"/>
        <n v="331800"/>
        <n v="70500"/>
        <n v="547200"/>
        <n v="283500"/>
        <n v="100800"/>
        <n v="644600"/>
        <n v="388800"/>
        <n v="420200"/>
        <n v="313500"/>
        <n v="121500"/>
        <n v="540800"/>
        <n v="200400"/>
        <n v="238000"/>
        <n v="117500"/>
        <n v="77900"/>
        <n v="197100"/>
        <n v="382800"/>
        <n v="117000"/>
        <n v="58800"/>
        <n v="360000"/>
        <n v="545700"/>
        <n v="363300"/>
        <n v="158200"/>
        <n v="71400"/>
        <n v="675000"/>
        <n v="299700"/>
        <n v="292500"/>
        <n v="203000"/>
        <n v="151200"/>
        <n v="818400"/>
        <n v="190800"/>
        <n v="434400"/>
        <n v="230000"/>
        <n v="83300"/>
        <n v="462000"/>
        <n v="270000"/>
        <n v="179000"/>
        <n v="127800"/>
        <n v="169200"/>
        <n v="438900"/>
        <n v="516000"/>
        <n v="420000"/>
        <n v="147000"/>
        <n v="178600"/>
        <n v="312500"/>
        <n v="281600"/>
        <n v="216000"/>
        <n v="235000"/>
        <n v="518400"/>
        <n v="213600"/>
        <n v="262900"/>
        <n v="123200"/>
        <n v="571500"/>
        <n v="212300"/>
        <n v="92000"/>
        <n v="54000"/>
        <n v="278400"/>
        <n v="328000"/>
        <n v="170000"/>
        <n v="303000"/>
        <n v="550400"/>
        <n v="212800"/>
        <n v="218400"/>
        <n v="261800"/>
        <n v="103200"/>
        <n v="471100"/>
        <n v="429800"/>
        <n v="287300"/>
        <n v="150500"/>
        <n v="49000"/>
        <n v="836400"/>
        <n v="622800"/>
        <n v="323000"/>
        <n v="282800"/>
        <n v="154000"/>
        <n v="281200"/>
        <n v="236800"/>
        <n v="432000"/>
        <n v="265100"/>
        <n v="639900"/>
        <n v="152500"/>
        <n v="384000"/>
        <n v="218900"/>
        <n v="123000"/>
        <n v="540000"/>
        <n v="354000"/>
        <n v="356000"/>
        <n v="300300"/>
        <n v="202500"/>
        <n v="559800"/>
        <n v="113500"/>
        <n v="52800"/>
        <n v="277200"/>
        <n v="619200"/>
        <n v="308800"/>
        <n v="121800"/>
        <n v="414400"/>
        <n v="467200"/>
        <n v="396000"/>
        <n v="248600"/>
        <n v="162800"/>
      </sharedItems>
    </cacheField>
    <cacheField name="Discount %" numFmtId="9">
      <sharedItems containsSemiMixedTypes="0" containsString="0" containsNumber="1" minValue="0" maxValue="0.15"/>
    </cacheField>
    <cacheField name="Net Revenue (₹)" numFmtId="164">
      <sharedItems containsSemiMixedTypes="0" containsString="0" containsNumber="1" containsInteger="1" minValue="38950" maxValue="746280"/>
    </cacheField>
    <cacheField name="Target (₹)" numFmtId="164">
      <sharedItems containsSemiMixedTypes="0" containsString="0" containsNumber="1" containsInteger="1" minValue="45000" maxValue="1076000" count="198">
        <n v="186000"/>
        <n v="424000"/>
        <n v="134000"/>
        <n v="286000"/>
        <n v="92000"/>
        <n v="317000"/>
        <n v="522000"/>
        <n v="407000"/>
        <n v="244000"/>
        <n v="97000"/>
        <n v="616000"/>
        <n v="251000"/>
        <n v="330000"/>
        <n v="342000"/>
        <n v="121000"/>
        <n v="508000"/>
        <n v="436000"/>
        <n v="324000"/>
        <n v="148000"/>
        <n v="152000"/>
        <n v="383000"/>
        <n v="232000"/>
        <n v="375000"/>
        <n v="400000"/>
        <n v="724000"/>
        <n v="550000"/>
        <n v="363000"/>
        <n v="127000"/>
        <n v="453000"/>
        <n v="658000"/>
        <n v="197000"/>
        <n v="192000"/>
        <n v="106000"/>
        <n v="239000"/>
        <n v="488000"/>
        <n v="303000"/>
        <n v="260000"/>
        <n v="176000"/>
        <n v="585000"/>
        <n v="388000"/>
        <n v="175000"/>
        <n v="80000"/>
        <n v="586000"/>
        <n v="184000"/>
        <n v="489000"/>
        <n v="185000"/>
        <n v="108000"/>
        <n v="392000"/>
        <n v="538000"/>
        <n v="217000"/>
        <n v="262000"/>
        <n v="410000"/>
        <n v="309000"/>
        <n v="210000"/>
        <n v="104000"/>
        <n v="153000"/>
        <n v="659000"/>
        <n v="646000"/>
        <n v="242000"/>
        <n v="195000"/>
        <n v="150000"/>
        <n v="218000"/>
        <n v="173000"/>
        <n v="283000"/>
        <n v="126000"/>
        <n v="138000"/>
        <n v="234000"/>
        <n v="445000"/>
        <n v="288000"/>
        <n v="198000"/>
        <n v="341000"/>
        <n v="692000"/>
        <n v="300000"/>
        <n v="272000"/>
        <n v="110000"/>
        <n v="160000"/>
        <n v="143000"/>
        <n v="331000"/>
        <n v="128000"/>
        <n v="116000"/>
        <n v="338000"/>
        <n v="311000"/>
        <n v="582000"/>
        <n v="520000"/>
        <n v="45000"/>
        <n v="695000"/>
        <n v="425000"/>
        <n v="840000"/>
        <n v="241000"/>
        <n v="164000"/>
        <n v="72000"/>
        <n v="439000"/>
        <n v="357000"/>
        <n v="337000"/>
        <n v="355000"/>
        <n v="640000"/>
        <n v="385000"/>
        <n v="55000"/>
        <n v="475000"/>
        <n v="280000"/>
        <n v="310000"/>
        <n v="130000"/>
        <n v="191000"/>
        <n v="350000"/>
        <n v="353000"/>
        <n v="279000"/>
        <n v="296000"/>
        <n v="51000"/>
        <n v="986000"/>
        <n v="132000"/>
        <n v="66000"/>
        <n v="704000"/>
        <n v="514000"/>
        <n v="313000"/>
        <n v="95000"/>
        <n v="543000"/>
        <n v="398000"/>
        <n v="158000"/>
        <n v="516000"/>
        <n v="172000"/>
        <n v="223000"/>
        <n v="107000"/>
        <n v="67000"/>
        <n v="194000"/>
        <n v="122000"/>
        <n v="75000"/>
        <n v="397000"/>
        <n v="684000"/>
        <n v="302000"/>
        <n v="179000"/>
        <n v="63000"/>
        <n v="638000"/>
        <n v="369000"/>
        <n v="320000"/>
        <n v="228000"/>
        <n v="1032000"/>
        <n v="219000"/>
        <n v="365000"/>
        <n v="213000"/>
        <n v="91000"/>
        <n v="478000"/>
        <n v="275000"/>
        <n v="174000"/>
        <n v="541000"/>
        <n v="519000"/>
        <n v="467000"/>
        <n v="145000"/>
        <n v="336000"/>
        <n v="290000"/>
        <n v="204000"/>
        <n v="492000"/>
        <n v="208000"/>
        <n v="339000"/>
        <n v="101000"/>
        <n v="441000"/>
        <n v="180000"/>
        <n v="114000"/>
        <n v="52000"/>
        <n v="405000"/>
        <n v="214000"/>
        <n v="358000"/>
        <n v="539000"/>
        <n v="230000"/>
        <n v="270000"/>
        <n v="240000"/>
        <n v="129000"/>
        <n v="394000"/>
        <n v="352000"/>
        <n v="49000"/>
        <n v="1076000"/>
        <n v="740000"/>
        <n v="359000"/>
        <n v="318000"/>
        <n v="151000"/>
        <n v="293000"/>
        <n v="525000"/>
        <n v="629000"/>
        <n v="157000"/>
        <n v="328000"/>
        <n v="211000"/>
        <n v="154000"/>
        <n v="687000"/>
        <n v="440000"/>
        <n v="454000"/>
        <n v="373000"/>
        <n v="206000"/>
        <n v="207000"/>
        <n v="551000"/>
        <n v="203000"/>
        <n v="68000"/>
        <n v="250000"/>
        <n v="735000"/>
        <n v="105000"/>
        <n v="162000"/>
        <n v="419000"/>
        <n v="556000"/>
        <n v="325000"/>
        <n v="139000"/>
      </sharedItems>
    </cacheField>
    <cacheField name="Achieved %" numFmtId="165">
      <sharedItems containsSemiMixedTypes="0" containsString="0" containsNumber="1" minValue="0.768987341772152" maxValue="1.25"/>
    </cacheField>
    <cacheField name="Achieved %   " numFmtId="0" formula=" ('Target (₹)'-'Revenue (₹)')/'Target (₹)'" databaseField="0"/>
    <cacheField name="% Achieved        " numFmtId="0" formula="'Revenue (₹)'/'Target (₹)'" databaseField="0"/>
    <cacheField name="Top Selling Product" numFmtId="0" formula="Product" databaseField="0"/>
    <cacheField name="Avg Deal Size" numFmtId="0" formula="'Revenue (₹)'/'Units Sold'" databaseField="0"/>
    <cacheField name=" Achieved (%)" numFmtId="0" formula="'Revenue (₹)'/'Target (₹)'" databaseField="0"/>
  </cacheFields>
  <extLst>
    <ext xmlns:x14="http://schemas.microsoft.com/office/spreadsheetml/2009/9/main" uri="{725AE2AE-9491-48be-B2B4-4EB974FC3084}">
      <x14:pivotCacheDefinition pivotCacheId="330661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001"/>
    <x v="0"/>
    <x v="0"/>
    <x v="0"/>
    <x v="0"/>
    <x v="0"/>
    <x v="0"/>
    <n v="68100"/>
    <x v="0"/>
    <n v="0"/>
    <n v="204300"/>
    <x v="0"/>
    <n v="1.09838709677419"/>
  </r>
  <r>
    <n v="1002"/>
    <x v="0"/>
    <x v="0"/>
    <x v="0"/>
    <x v="0"/>
    <x v="1"/>
    <x v="1"/>
    <n v="33500"/>
    <x v="1"/>
    <n v="0.1"/>
    <n v="452250"/>
    <x v="1"/>
    <n v="1.1851415094339599"/>
  </r>
  <r>
    <n v="1003"/>
    <x v="0"/>
    <x v="0"/>
    <x v="0"/>
    <x v="1"/>
    <x v="2"/>
    <x v="2"/>
    <n v="16300"/>
    <x v="2"/>
    <n v="0"/>
    <n v="146700"/>
    <x v="2"/>
    <n v="1.0947761194029899"/>
  </r>
  <r>
    <n v="1004"/>
    <x v="0"/>
    <x v="0"/>
    <x v="0"/>
    <x v="0"/>
    <x v="3"/>
    <x v="3"/>
    <n v="20700"/>
    <x v="3"/>
    <n v="0.15"/>
    <n v="211140"/>
    <x v="3"/>
    <n v="0.86853146853146901"/>
  </r>
  <r>
    <n v="1005"/>
    <x v="0"/>
    <x v="0"/>
    <x v="0"/>
    <x v="1"/>
    <x v="4"/>
    <x v="4"/>
    <n v="4500"/>
    <x v="4"/>
    <n v="0.05"/>
    <n v="72675"/>
    <x v="4"/>
    <n v="0.83152173913043503"/>
  </r>
  <r>
    <n v="1006"/>
    <x v="0"/>
    <x v="0"/>
    <x v="1"/>
    <x v="2"/>
    <x v="0"/>
    <x v="5"/>
    <n v="67600"/>
    <x v="5"/>
    <n v="0.05"/>
    <n v="321100"/>
    <x v="5"/>
    <n v="1.06624605678233"/>
  </r>
  <r>
    <n v="1007"/>
    <x v="0"/>
    <x v="0"/>
    <x v="1"/>
    <x v="2"/>
    <x v="1"/>
    <x v="4"/>
    <n v="31000"/>
    <x v="6"/>
    <n v="0"/>
    <n v="527000"/>
    <x v="6"/>
    <n v="1.0095785440613001"/>
  </r>
  <r>
    <n v="1008"/>
    <x v="0"/>
    <x v="0"/>
    <x v="1"/>
    <x v="3"/>
    <x v="2"/>
    <x v="6"/>
    <n v="18400"/>
    <x v="7"/>
    <n v="0"/>
    <n v="349600"/>
    <x v="7"/>
    <n v="0.85896805896805895"/>
  </r>
  <r>
    <n v="1009"/>
    <x v="0"/>
    <x v="0"/>
    <x v="1"/>
    <x v="2"/>
    <x v="3"/>
    <x v="7"/>
    <n v="20100"/>
    <x v="8"/>
    <n v="0.05"/>
    <n v="190950"/>
    <x v="8"/>
    <n v="0.82377049180327899"/>
  </r>
  <r>
    <n v="1010"/>
    <x v="0"/>
    <x v="0"/>
    <x v="1"/>
    <x v="3"/>
    <x v="4"/>
    <x v="8"/>
    <n v="4200"/>
    <x v="9"/>
    <n v="0"/>
    <n v="117600"/>
    <x v="9"/>
    <n v="1.21237113402062"/>
  </r>
  <r>
    <n v="1011"/>
    <x v="0"/>
    <x v="0"/>
    <x v="2"/>
    <x v="4"/>
    <x v="0"/>
    <x v="9"/>
    <n v="71300"/>
    <x v="10"/>
    <n v="0"/>
    <n v="499100"/>
    <x v="10"/>
    <n v="0.81022727272727302"/>
  </r>
  <r>
    <n v="1012"/>
    <x v="0"/>
    <x v="0"/>
    <x v="2"/>
    <x v="5"/>
    <x v="1"/>
    <x v="2"/>
    <n v="31700"/>
    <x v="11"/>
    <n v="0.05"/>
    <n v="271035"/>
    <x v="11"/>
    <n v="1.1366533864541799"/>
  </r>
  <r>
    <n v="1013"/>
    <x v="0"/>
    <x v="0"/>
    <x v="2"/>
    <x v="5"/>
    <x v="2"/>
    <x v="10"/>
    <n v="18600"/>
    <x v="12"/>
    <n v="0.15"/>
    <n v="221340"/>
    <x v="12"/>
    <n v="0.78909090909090895"/>
  </r>
  <r>
    <n v="1014"/>
    <x v="0"/>
    <x v="0"/>
    <x v="2"/>
    <x v="4"/>
    <x v="3"/>
    <x v="11"/>
    <n v="22600"/>
    <x v="13"/>
    <n v="0.1"/>
    <n v="264420"/>
    <x v="13"/>
    <n v="0.85906432748537997"/>
  </r>
  <r>
    <n v="1015"/>
    <x v="0"/>
    <x v="0"/>
    <x v="2"/>
    <x v="4"/>
    <x v="4"/>
    <x v="12"/>
    <n v="4400"/>
    <x v="14"/>
    <n v="0.15"/>
    <n v="89760"/>
    <x v="14"/>
    <n v="0.87272727272727302"/>
  </r>
  <r>
    <n v="1016"/>
    <x v="0"/>
    <x v="0"/>
    <x v="3"/>
    <x v="6"/>
    <x v="0"/>
    <x v="13"/>
    <n v="69500"/>
    <x v="15"/>
    <n v="0"/>
    <n v="556000"/>
    <x v="15"/>
    <n v="1.09448818897638"/>
  </r>
  <r>
    <n v="1017"/>
    <x v="0"/>
    <x v="0"/>
    <x v="3"/>
    <x v="6"/>
    <x v="1"/>
    <x v="4"/>
    <n v="30800"/>
    <x v="16"/>
    <n v="0.05"/>
    <n v="497420"/>
    <x v="16"/>
    <n v="1.20091743119266"/>
  </r>
  <r>
    <n v="1018"/>
    <x v="0"/>
    <x v="0"/>
    <x v="3"/>
    <x v="7"/>
    <x v="2"/>
    <x v="10"/>
    <n v="18600"/>
    <x v="12"/>
    <n v="0.05"/>
    <n v="247380"/>
    <x v="17"/>
    <n v="0.80370370370370403"/>
  </r>
  <r>
    <n v="1019"/>
    <x v="0"/>
    <x v="0"/>
    <x v="3"/>
    <x v="7"/>
    <x v="3"/>
    <x v="14"/>
    <n v="21000"/>
    <x v="17"/>
    <n v="0"/>
    <n v="126000"/>
    <x v="18"/>
    <n v="0.85135135135135098"/>
  </r>
  <r>
    <n v="1020"/>
    <x v="0"/>
    <x v="0"/>
    <x v="3"/>
    <x v="7"/>
    <x v="4"/>
    <x v="15"/>
    <n v="4600"/>
    <x v="18"/>
    <n v="0.1"/>
    <n v="136620"/>
    <x v="19"/>
    <n v="0.99868421052631595"/>
  </r>
  <r>
    <n v="1021"/>
    <x v="1"/>
    <x v="0"/>
    <x v="0"/>
    <x v="0"/>
    <x v="0"/>
    <x v="5"/>
    <n v="65100"/>
    <x v="19"/>
    <n v="0"/>
    <n v="325500"/>
    <x v="20"/>
    <n v="0.84986945169712802"/>
  </r>
  <r>
    <n v="1022"/>
    <x v="1"/>
    <x v="0"/>
    <x v="0"/>
    <x v="0"/>
    <x v="1"/>
    <x v="9"/>
    <n v="32800"/>
    <x v="20"/>
    <n v="0.15"/>
    <n v="195160"/>
    <x v="21"/>
    <n v="0.98965517241379297"/>
  </r>
  <r>
    <n v="1023"/>
    <x v="1"/>
    <x v="0"/>
    <x v="0"/>
    <x v="0"/>
    <x v="2"/>
    <x v="16"/>
    <n v="17600"/>
    <x v="21"/>
    <n v="0.05"/>
    <n v="334400"/>
    <x v="22"/>
    <n v="0.93866666666666698"/>
  </r>
  <r>
    <n v="1024"/>
    <x v="1"/>
    <x v="0"/>
    <x v="0"/>
    <x v="0"/>
    <x v="3"/>
    <x v="10"/>
    <n v="23000"/>
    <x v="22"/>
    <n v="0.15"/>
    <n v="273700"/>
    <x v="23"/>
    <n v="0.80500000000000005"/>
  </r>
  <r>
    <n v="1025"/>
    <x v="1"/>
    <x v="0"/>
    <x v="0"/>
    <x v="1"/>
    <x v="4"/>
    <x v="17"/>
    <n v="4600"/>
    <x v="23"/>
    <n v="0"/>
    <n v="156400"/>
    <x v="18"/>
    <n v="1.05675675675676"/>
  </r>
  <r>
    <n v="1026"/>
    <x v="1"/>
    <x v="0"/>
    <x v="1"/>
    <x v="2"/>
    <x v="0"/>
    <x v="7"/>
    <n v="58500"/>
    <x v="24"/>
    <n v="0.15"/>
    <n v="497250"/>
    <x v="24"/>
    <n v="0.80801104972375704"/>
  </r>
  <r>
    <n v="1027"/>
    <x v="1"/>
    <x v="0"/>
    <x v="1"/>
    <x v="3"/>
    <x v="1"/>
    <x v="11"/>
    <n v="33700"/>
    <x v="25"/>
    <n v="0.1"/>
    <n v="394290"/>
    <x v="25"/>
    <n v="0.796545454545455"/>
  </r>
  <r>
    <n v="1028"/>
    <x v="1"/>
    <x v="0"/>
    <x v="1"/>
    <x v="3"/>
    <x v="2"/>
    <x v="12"/>
    <n v="18400"/>
    <x v="26"/>
    <n v="0"/>
    <n v="441600"/>
    <x v="16"/>
    <n v="1.01284403669725"/>
  </r>
  <r>
    <n v="1029"/>
    <x v="1"/>
    <x v="0"/>
    <x v="1"/>
    <x v="2"/>
    <x v="3"/>
    <x v="3"/>
    <n v="24000"/>
    <x v="27"/>
    <n v="0.1"/>
    <n v="259200"/>
    <x v="26"/>
    <n v="0.79338842975206603"/>
  </r>
  <r>
    <n v="1030"/>
    <x v="1"/>
    <x v="0"/>
    <x v="1"/>
    <x v="3"/>
    <x v="4"/>
    <x v="18"/>
    <n v="4100"/>
    <x v="28"/>
    <n v="0.05"/>
    <n v="97375"/>
    <x v="27"/>
    <n v="0.80708661417322802"/>
  </r>
  <r>
    <n v="1031"/>
    <x v="1"/>
    <x v="0"/>
    <x v="2"/>
    <x v="5"/>
    <x v="0"/>
    <x v="14"/>
    <n v="59300"/>
    <x v="29"/>
    <n v="0.1"/>
    <n v="320220"/>
    <x v="28"/>
    <n v="0.78543046357615898"/>
  </r>
  <r>
    <n v="1032"/>
    <x v="1"/>
    <x v="0"/>
    <x v="2"/>
    <x v="4"/>
    <x v="1"/>
    <x v="19"/>
    <n v="31900"/>
    <x v="30"/>
    <n v="0"/>
    <n v="510400"/>
    <x v="29"/>
    <n v="0.77568389057750797"/>
  </r>
  <r>
    <n v="1033"/>
    <x v="1"/>
    <x v="0"/>
    <x v="2"/>
    <x v="4"/>
    <x v="2"/>
    <x v="3"/>
    <n v="18600"/>
    <x v="31"/>
    <n v="0.1"/>
    <n v="200880"/>
    <x v="30"/>
    <n v="1.13299492385787"/>
  </r>
  <r>
    <n v="1034"/>
    <x v="1"/>
    <x v="0"/>
    <x v="2"/>
    <x v="5"/>
    <x v="3"/>
    <x v="9"/>
    <n v="23900"/>
    <x v="32"/>
    <n v="0.15"/>
    <n v="142205"/>
    <x v="31"/>
    <n v="0.87135416666666698"/>
  </r>
  <r>
    <n v="1035"/>
    <x v="1"/>
    <x v="0"/>
    <x v="2"/>
    <x v="5"/>
    <x v="4"/>
    <x v="20"/>
    <n v="4900"/>
    <x v="33"/>
    <n v="0.15"/>
    <n v="91630"/>
    <x v="32"/>
    <n v="1.01698113207547"/>
  </r>
  <r>
    <n v="1036"/>
    <x v="1"/>
    <x v="0"/>
    <x v="3"/>
    <x v="7"/>
    <x v="0"/>
    <x v="21"/>
    <n v="61700"/>
    <x v="34"/>
    <n v="0"/>
    <n v="246800"/>
    <x v="33"/>
    <n v="1.0326359832636001"/>
  </r>
  <r>
    <n v="1037"/>
    <x v="1"/>
    <x v="0"/>
    <x v="3"/>
    <x v="6"/>
    <x v="1"/>
    <x v="10"/>
    <n v="30200"/>
    <x v="35"/>
    <n v="0"/>
    <n v="422800"/>
    <x v="34"/>
    <n v="0.86639344262295104"/>
  </r>
  <r>
    <n v="1038"/>
    <x v="1"/>
    <x v="0"/>
    <x v="3"/>
    <x v="6"/>
    <x v="2"/>
    <x v="1"/>
    <n v="16400"/>
    <x v="36"/>
    <n v="0"/>
    <n v="246000"/>
    <x v="35"/>
    <n v="0.81188118811881205"/>
  </r>
  <r>
    <n v="1039"/>
    <x v="1"/>
    <x v="0"/>
    <x v="3"/>
    <x v="6"/>
    <x v="3"/>
    <x v="3"/>
    <n v="20800"/>
    <x v="37"/>
    <n v="0.15"/>
    <n v="212160"/>
    <x v="36"/>
    <n v="0.96"/>
  </r>
  <r>
    <n v="1040"/>
    <x v="1"/>
    <x v="0"/>
    <x v="3"/>
    <x v="6"/>
    <x v="4"/>
    <x v="15"/>
    <n v="4900"/>
    <x v="38"/>
    <n v="0.1"/>
    <n v="145530"/>
    <x v="37"/>
    <n v="0.91874999999999996"/>
  </r>
  <r>
    <n v="1041"/>
    <x v="2"/>
    <x v="0"/>
    <x v="0"/>
    <x v="0"/>
    <x v="0"/>
    <x v="7"/>
    <n v="69000"/>
    <x v="39"/>
    <n v="0"/>
    <n v="690000"/>
    <x v="38"/>
    <n v="1.17948717948718"/>
  </r>
  <r>
    <n v="1042"/>
    <x v="2"/>
    <x v="0"/>
    <x v="0"/>
    <x v="1"/>
    <x v="1"/>
    <x v="7"/>
    <n v="31500"/>
    <x v="40"/>
    <n v="0.05"/>
    <n v="299250"/>
    <x v="39"/>
    <n v="0.81185567010309301"/>
  </r>
  <r>
    <n v="1043"/>
    <x v="2"/>
    <x v="0"/>
    <x v="0"/>
    <x v="0"/>
    <x v="2"/>
    <x v="22"/>
    <n v="16400"/>
    <x v="41"/>
    <n v="0.15"/>
    <n v="153340"/>
    <x v="40"/>
    <n v="1.03085714285714"/>
  </r>
  <r>
    <n v="1044"/>
    <x v="2"/>
    <x v="0"/>
    <x v="0"/>
    <x v="0"/>
    <x v="3"/>
    <x v="9"/>
    <n v="20600"/>
    <x v="42"/>
    <n v="0.1"/>
    <n v="129780"/>
    <x v="18"/>
    <n v="0.97432432432432403"/>
  </r>
  <r>
    <n v="1045"/>
    <x v="2"/>
    <x v="0"/>
    <x v="0"/>
    <x v="1"/>
    <x v="4"/>
    <x v="1"/>
    <n v="4300"/>
    <x v="43"/>
    <n v="0"/>
    <n v="64500"/>
    <x v="41"/>
    <n v="0.80625000000000002"/>
  </r>
  <r>
    <n v="1046"/>
    <x v="2"/>
    <x v="0"/>
    <x v="1"/>
    <x v="2"/>
    <x v="0"/>
    <x v="7"/>
    <n v="69000"/>
    <x v="39"/>
    <n v="0.1"/>
    <n v="621000"/>
    <x v="42"/>
    <n v="1.1774744027303801"/>
  </r>
  <r>
    <n v="1047"/>
    <x v="2"/>
    <x v="0"/>
    <x v="1"/>
    <x v="2"/>
    <x v="1"/>
    <x v="14"/>
    <n v="34700"/>
    <x v="44"/>
    <n v="0"/>
    <n v="208200"/>
    <x v="43"/>
    <n v="1.13152173913043"/>
  </r>
  <r>
    <n v="1048"/>
    <x v="2"/>
    <x v="0"/>
    <x v="1"/>
    <x v="3"/>
    <x v="2"/>
    <x v="23"/>
    <n v="17000"/>
    <x v="45"/>
    <n v="0.05"/>
    <n v="371450"/>
    <x v="44"/>
    <n v="0.79959100204499001"/>
  </r>
  <r>
    <n v="1049"/>
    <x v="2"/>
    <x v="0"/>
    <x v="1"/>
    <x v="2"/>
    <x v="3"/>
    <x v="7"/>
    <n v="19800"/>
    <x v="46"/>
    <n v="0.05"/>
    <n v="188100"/>
    <x v="45"/>
    <n v="1.07027027027027"/>
  </r>
  <r>
    <n v="1050"/>
    <x v="2"/>
    <x v="0"/>
    <x v="1"/>
    <x v="3"/>
    <x v="4"/>
    <x v="6"/>
    <n v="4400"/>
    <x v="47"/>
    <n v="0.15"/>
    <n v="71060"/>
    <x v="46"/>
    <n v="0.77407407407407403"/>
  </r>
  <r>
    <n v="1051"/>
    <x v="2"/>
    <x v="0"/>
    <x v="2"/>
    <x v="5"/>
    <x v="0"/>
    <x v="5"/>
    <n v="61000"/>
    <x v="48"/>
    <n v="0"/>
    <n v="305000"/>
    <x v="47"/>
    <n v="0.77806122448979598"/>
  </r>
  <r>
    <n v="1052"/>
    <x v="2"/>
    <x v="0"/>
    <x v="2"/>
    <x v="4"/>
    <x v="1"/>
    <x v="19"/>
    <n v="30800"/>
    <x v="49"/>
    <n v="0"/>
    <n v="492800"/>
    <x v="48"/>
    <n v="0.91598513011152405"/>
  </r>
  <r>
    <n v="1053"/>
    <x v="2"/>
    <x v="0"/>
    <x v="2"/>
    <x v="4"/>
    <x v="2"/>
    <x v="2"/>
    <n v="19700"/>
    <x v="50"/>
    <n v="0"/>
    <n v="177300"/>
    <x v="49"/>
    <n v="0.81705069124424001"/>
  </r>
  <r>
    <n v="1054"/>
    <x v="2"/>
    <x v="0"/>
    <x v="2"/>
    <x v="4"/>
    <x v="3"/>
    <x v="11"/>
    <n v="20100"/>
    <x v="51"/>
    <n v="0"/>
    <n v="261300"/>
    <x v="50"/>
    <n v="0.99732824427480904"/>
  </r>
  <r>
    <n v="1055"/>
    <x v="2"/>
    <x v="0"/>
    <x v="2"/>
    <x v="4"/>
    <x v="4"/>
    <x v="8"/>
    <n v="4600"/>
    <x v="52"/>
    <n v="0.1"/>
    <n v="115920"/>
    <x v="46"/>
    <n v="1.19259259259259"/>
  </r>
  <r>
    <n v="1056"/>
    <x v="2"/>
    <x v="0"/>
    <x v="3"/>
    <x v="7"/>
    <x v="0"/>
    <x v="9"/>
    <n v="61200"/>
    <x v="53"/>
    <n v="0.15"/>
    <n v="364140"/>
    <x v="51"/>
    <n v="1.0448780487804901"/>
  </r>
  <r>
    <n v="1057"/>
    <x v="2"/>
    <x v="0"/>
    <x v="3"/>
    <x v="7"/>
    <x v="1"/>
    <x v="22"/>
    <n v="29600"/>
    <x v="54"/>
    <n v="0.15"/>
    <n v="276760"/>
    <x v="52"/>
    <n v="1.0537216828478999"/>
  </r>
  <r>
    <n v="1058"/>
    <x v="2"/>
    <x v="0"/>
    <x v="3"/>
    <x v="7"/>
    <x v="2"/>
    <x v="7"/>
    <n v="16200"/>
    <x v="55"/>
    <n v="0.1"/>
    <n v="145800"/>
    <x v="53"/>
    <n v="0.77142857142857202"/>
  </r>
  <r>
    <n v="1059"/>
    <x v="2"/>
    <x v="0"/>
    <x v="3"/>
    <x v="6"/>
    <x v="3"/>
    <x v="5"/>
    <n v="22200"/>
    <x v="56"/>
    <n v="0.1"/>
    <n v="99900"/>
    <x v="54"/>
    <n v="1.0673076923076901"/>
  </r>
  <r>
    <n v="1060"/>
    <x v="2"/>
    <x v="0"/>
    <x v="3"/>
    <x v="7"/>
    <x v="4"/>
    <x v="24"/>
    <n v="4100"/>
    <x v="57"/>
    <n v="0"/>
    <n v="155800"/>
    <x v="55"/>
    <n v="1.0183006535947701"/>
  </r>
  <r>
    <n v="1061"/>
    <x v="3"/>
    <x v="1"/>
    <x v="0"/>
    <x v="0"/>
    <x v="0"/>
    <x v="7"/>
    <n v="69300"/>
    <x v="58"/>
    <n v="0.15"/>
    <n v="589050"/>
    <x v="56"/>
    <n v="1.0515933232170001"/>
  </r>
  <r>
    <n v="1062"/>
    <x v="3"/>
    <x v="1"/>
    <x v="0"/>
    <x v="0"/>
    <x v="1"/>
    <x v="1"/>
    <n v="34000"/>
    <x v="59"/>
    <n v="0.05"/>
    <n v="484500"/>
    <x v="57"/>
    <n v="0.78947368421052599"/>
  </r>
  <r>
    <n v="1063"/>
    <x v="3"/>
    <x v="1"/>
    <x v="0"/>
    <x v="0"/>
    <x v="2"/>
    <x v="3"/>
    <n v="17200"/>
    <x v="60"/>
    <n v="0"/>
    <n v="206400"/>
    <x v="58"/>
    <n v="0.85289256198347096"/>
  </r>
  <r>
    <n v="1064"/>
    <x v="3"/>
    <x v="1"/>
    <x v="0"/>
    <x v="0"/>
    <x v="3"/>
    <x v="13"/>
    <n v="21000"/>
    <x v="61"/>
    <n v="0"/>
    <n v="168000"/>
    <x v="59"/>
    <n v="0.86153846153846203"/>
  </r>
  <r>
    <n v="1065"/>
    <x v="3"/>
    <x v="1"/>
    <x v="0"/>
    <x v="0"/>
    <x v="4"/>
    <x v="25"/>
    <n v="4600"/>
    <x v="62"/>
    <n v="0.05"/>
    <n v="135470"/>
    <x v="60"/>
    <n v="0.95066666666666699"/>
  </r>
  <r>
    <n v="1066"/>
    <x v="3"/>
    <x v="1"/>
    <x v="1"/>
    <x v="3"/>
    <x v="0"/>
    <x v="0"/>
    <n v="59700"/>
    <x v="63"/>
    <n v="0.05"/>
    <n v="170145"/>
    <x v="61"/>
    <n v="0.821559633027523"/>
  </r>
  <r>
    <n v="1067"/>
    <x v="3"/>
    <x v="1"/>
    <x v="1"/>
    <x v="2"/>
    <x v="1"/>
    <x v="5"/>
    <n v="30900"/>
    <x v="64"/>
    <n v="0"/>
    <n v="154500"/>
    <x v="62"/>
    <n v="0.89306358381502904"/>
  </r>
  <r>
    <n v="1068"/>
    <x v="3"/>
    <x v="1"/>
    <x v="1"/>
    <x v="3"/>
    <x v="2"/>
    <x v="11"/>
    <n v="18900"/>
    <x v="65"/>
    <n v="0.1"/>
    <n v="221130"/>
    <x v="63"/>
    <n v="0.86819787985865704"/>
  </r>
  <r>
    <n v="1069"/>
    <x v="3"/>
    <x v="1"/>
    <x v="1"/>
    <x v="2"/>
    <x v="3"/>
    <x v="5"/>
    <n v="20100"/>
    <x v="66"/>
    <n v="0.15"/>
    <n v="85425"/>
    <x v="64"/>
    <n v="0.797619047619048"/>
  </r>
  <r>
    <n v="1070"/>
    <x v="3"/>
    <x v="1"/>
    <x v="1"/>
    <x v="2"/>
    <x v="4"/>
    <x v="26"/>
    <n v="4400"/>
    <x v="67"/>
    <n v="0.1"/>
    <n v="142560"/>
    <x v="65"/>
    <n v="1.14782608695652"/>
  </r>
  <r>
    <n v="1071"/>
    <x v="3"/>
    <x v="1"/>
    <x v="2"/>
    <x v="4"/>
    <x v="0"/>
    <x v="0"/>
    <n v="62500"/>
    <x v="68"/>
    <n v="0"/>
    <n v="187500"/>
    <x v="66"/>
    <n v="0.80128205128205099"/>
  </r>
  <r>
    <n v="1072"/>
    <x v="3"/>
    <x v="1"/>
    <x v="2"/>
    <x v="4"/>
    <x v="1"/>
    <x v="1"/>
    <n v="30400"/>
    <x v="69"/>
    <n v="0"/>
    <n v="456000"/>
    <x v="67"/>
    <n v="1.0247191011236001"/>
  </r>
  <r>
    <n v="1073"/>
    <x v="3"/>
    <x v="1"/>
    <x v="2"/>
    <x v="5"/>
    <x v="2"/>
    <x v="3"/>
    <n v="19500"/>
    <x v="70"/>
    <n v="0"/>
    <n v="234000"/>
    <x v="68"/>
    <n v="0.8125"/>
  </r>
  <r>
    <n v="1074"/>
    <x v="3"/>
    <x v="1"/>
    <x v="2"/>
    <x v="4"/>
    <x v="3"/>
    <x v="7"/>
    <n v="19900"/>
    <x v="71"/>
    <n v="0.15"/>
    <n v="169150"/>
    <x v="11"/>
    <n v="0.79282868525896399"/>
  </r>
  <r>
    <n v="1075"/>
    <x v="3"/>
    <x v="1"/>
    <x v="2"/>
    <x v="5"/>
    <x v="4"/>
    <x v="27"/>
    <n v="4700"/>
    <x v="72"/>
    <n v="0.15"/>
    <n v="139825"/>
    <x v="69"/>
    <n v="0.830808080808081"/>
  </r>
  <r>
    <n v="1076"/>
    <x v="3"/>
    <x v="1"/>
    <x v="3"/>
    <x v="7"/>
    <x v="0"/>
    <x v="5"/>
    <n v="68700"/>
    <x v="73"/>
    <n v="0"/>
    <n v="343500"/>
    <x v="70"/>
    <n v="1.00733137829912"/>
  </r>
  <r>
    <n v="1077"/>
    <x v="3"/>
    <x v="1"/>
    <x v="3"/>
    <x v="6"/>
    <x v="1"/>
    <x v="28"/>
    <n v="31800"/>
    <x v="74"/>
    <n v="0"/>
    <n v="572400"/>
    <x v="71"/>
    <n v="0.82716763005780403"/>
  </r>
  <r>
    <n v="1078"/>
    <x v="3"/>
    <x v="1"/>
    <x v="3"/>
    <x v="7"/>
    <x v="2"/>
    <x v="6"/>
    <n v="17300"/>
    <x v="75"/>
    <n v="0"/>
    <n v="328700"/>
    <x v="72"/>
    <n v="1.0956666666666699"/>
  </r>
  <r>
    <n v="1079"/>
    <x v="3"/>
    <x v="1"/>
    <x v="3"/>
    <x v="6"/>
    <x v="3"/>
    <x v="7"/>
    <n v="21200"/>
    <x v="76"/>
    <n v="0"/>
    <n v="212000"/>
    <x v="73"/>
    <n v="0.77941176470588203"/>
  </r>
  <r>
    <n v="1080"/>
    <x v="3"/>
    <x v="1"/>
    <x v="3"/>
    <x v="7"/>
    <x v="4"/>
    <x v="29"/>
    <n v="4600"/>
    <x v="77"/>
    <n v="0.05"/>
    <n v="91770"/>
    <x v="74"/>
    <n v="0.87818181818181795"/>
  </r>
  <r>
    <n v="1081"/>
    <x v="4"/>
    <x v="1"/>
    <x v="0"/>
    <x v="1"/>
    <x v="0"/>
    <x v="0"/>
    <n v="60000"/>
    <x v="78"/>
    <n v="0.05"/>
    <n v="171000"/>
    <x v="75"/>
    <n v="1.125"/>
  </r>
  <r>
    <n v="1082"/>
    <x v="4"/>
    <x v="1"/>
    <x v="0"/>
    <x v="1"/>
    <x v="1"/>
    <x v="5"/>
    <n v="29500"/>
    <x v="79"/>
    <n v="0.05"/>
    <n v="140125"/>
    <x v="76"/>
    <n v="1.0314685314685299"/>
  </r>
  <r>
    <n v="1083"/>
    <x v="4"/>
    <x v="1"/>
    <x v="0"/>
    <x v="1"/>
    <x v="2"/>
    <x v="29"/>
    <n v="18400"/>
    <x v="80"/>
    <n v="0.1"/>
    <n v="347760"/>
    <x v="77"/>
    <n v="1.1673716012084601"/>
  </r>
  <r>
    <n v="1084"/>
    <x v="4"/>
    <x v="1"/>
    <x v="0"/>
    <x v="0"/>
    <x v="3"/>
    <x v="13"/>
    <n v="20000"/>
    <x v="81"/>
    <n v="0.05"/>
    <n v="152000"/>
    <x v="78"/>
    <n v="1.25"/>
  </r>
  <r>
    <n v="1085"/>
    <x v="4"/>
    <x v="1"/>
    <x v="0"/>
    <x v="0"/>
    <x v="4"/>
    <x v="29"/>
    <n v="4400"/>
    <x v="82"/>
    <n v="0.15"/>
    <n v="78540"/>
    <x v="79"/>
    <n v="0.79655172413793096"/>
  </r>
  <r>
    <n v="1086"/>
    <x v="4"/>
    <x v="1"/>
    <x v="1"/>
    <x v="3"/>
    <x v="0"/>
    <x v="21"/>
    <n v="67900"/>
    <x v="83"/>
    <n v="0.05"/>
    <n v="258020"/>
    <x v="3"/>
    <n v="0.94965034965035"/>
  </r>
  <r>
    <n v="1087"/>
    <x v="4"/>
    <x v="1"/>
    <x v="1"/>
    <x v="3"/>
    <x v="1"/>
    <x v="7"/>
    <n v="31400"/>
    <x v="84"/>
    <n v="0.05"/>
    <n v="298300"/>
    <x v="80"/>
    <n v="0.92899408284023699"/>
  </r>
  <r>
    <n v="1088"/>
    <x v="4"/>
    <x v="1"/>
    <x v="1"/>
    <x v="2"/>
    <x v="2"/>
    <x v="29"/>
    <n v="18600"/>
    <x v="85"/>
    <n v="0.05"/>
    <n v="371070"/>
    <x v="67"/>
    <n v="0.87775280898876396"/>
  </r>
  <r>
    <n v="1089"/>
    <x v="4"/>
    <x v="1"/>
    <x v="1"/>
    <x v="2"/>
    <x v="3"/>
    <x v="11"/>
    <n v="22300"/>
    <x v="86"/>
    <n v="0.05"/>
    <n v="275405"/>
    <x v="81"/>
    <n v="0.93215434083601301"/>
  </r>
  <r>
    <n v="1090"/>
    <x v="4"/>
    <x v="1"/>
    <x v="1"/>
    <x v="2"/>
    <x v="4"/>
    <x v="6"/>
    <n v="4300"/>
    <x v="87"/>
    <n v="0.05"/>
    <n v="77615"/>
    <x v="9"/>
    <n v="0.84226804123711296"/>
  </r>
  <r>
    <n v="1091"/>
    <x v="4"/>
    <x v="1"/>
    <x v="2"/>
    <x v="5"/>
    <x v="0"/>
    <x v="7"/>
    <n v="64200"/>
    <x v="88"/>
    <n v="0.15"/>
    <n v="545700"/>
    <x v="82"/>
    <n v="1.1030927835051501"/>
  </r>
  <r>
    <n v="1092"/>
    <x v="4"/>
    <x v="1"/>
    <x v="2"/>
    <x v="5"/>
    <x v="1"/>
    <x v="4"/>
    <n v="34600"/>
    <x v="89"/>
    <n v="0.15"/>
    <n v="499970"/>
    <x v="83"/>
    <n v="1.13115384615385"/>
  </r>
  <r>
    <n v="1093"/>
    <x v="4"/>
    <x v="1"/>
    <x v="2"/>
    <x v="4"/>
    <x v="2"/>
    <x v="4"/>
    <n v="18100"/>
    <x v="90"/>
    <n v="0.15"/>
    <n v="261545"/>
    <x v="70"/>
    <n v="0.90234604105571903"/>
  </r>
  <r>
    <n v="1094"/>
    <x v="4"/>
    <x v="1"/>
    <x v="2"/>
    <x v="4"/>
    <x v="3"/>
    <x v="9"/>
    <n v="22800"/>
    <x v="91"/>
    <n v="0"/>
    <n v="159600"/>
    <x v="31"/>
    <n v="0.83125000000000004"/>
  </r>
  <r>
    <n v="1095"/>
    <x v="4"/>
    <x v="1"/>
    <x v="2"/>
    <x v="4"/>
    <x v="4"/>
    <x v="7"/>
    <n v="4100"/>
    <x v="92"/>
    <n v="0.05"/>
    <n v="38950"/>
    <x v="84"/>
    <n v="0.91111111111111098"/>
  </r>
  <r>
    <n v="1096"/>
    <x v="4"/>
    <x v="1"/>
    <x v="3"/>
    <x v="6"/>
    <x v="0"/>
    <x v="7"/>
    <n v="63900"/>
    <x v="93"/>
    <n v="0.15"/>
    <n v="543150"/>
    <x v="85"/>
    <n v="0.91942446043165504"/>
  </r>
  <r>
    <n v="1097"/>
    <x v="4"/>
    <x v="1"/>
    <x v="3"/>
    <x v="7"/>
    <x v="1"/>
    <x v="3"/>
    <n v="31400"/>
    <x v="94"/>
    <n v="0"/>
    <n v="376800"/>
    <x v="86"/>
    <n v="0.88658823529411801"/>
  </r>
  <r>
    <n v="1098"/>
    <x v="4"/>
    <x v="1"/>
    <x v="3"/>
    <x v="6"/>
    <x v="2"/>
    <x v="22"/>
    <n v="19000"/>
    <x v="95"/>
    <n v="0"/>
    <n v="209000"/>
    <x v="0"/>
    <n v="1.1236559139784901"/>
  </r>
  <r>
    <n v="1099"/>
    <x v="4"/>
    <x v="1"/>
    <x v="3"/>
    <x v="7"/>
    <x v="3"/>
    <x v="21"/>
    <n v="22300"/>
    <x v="96"/>
    <n v="0"/>
    <n v="89200"/>
    <x v="4"/>
    <n v="0.96956521739130397"/>
  </r>
  <r>
    <n v="1100"/>
    <x v="4"/>
    <x v="1"/>
    <x v="3"/>
    <x v="7"/>
    <x v="4"/>
    <x v="25"/>
    <n v="4500"/>
    <x v="97"/>
    <n v="0.1"/>
    <n v="125550"/>
    <x v="55"/>
    <n v="0.91176470588235303"/>
  </r>
  <r>
    <n v="1101"/>
    <x v="5"/>
    <x v="1"/>
    <x v="0"/>
    <x v="1"/>
    <x v="0"/>
    <x v="3"/>
    <n v="69100"/>
    <x v="98"/>
    <n v="0.1"/>
    <n v="746280"/>
    <x v="87"/>
    <n v="0.98714285714285699"/>
  </r>
  <r>
    <n v="1102"/>
    <x v="5"/>
    <x v="1"/>
    <x v="0"/>
    <x v="1"/>
    <x v="1"/>
    <x v="9"/>
    <n v="33600"/>
    <x v="99"/>
    <n v="0.05"/>
    <n v="223440"/>
    <x v="88"/>
    <n v="0.97593360995850598"/>
  </r>
  <r>
    <n v="1103"/>
    <x v="5"/>
    <x v="1"/>
    <x v="0"/>
    <x v="0"/>
    <x v="2"/>
    <x v="19"/>
    <n v="19000"/>
    <x v="100"/>
    <n v="0.1"/>
    <n v="273600"/>
    <x v="5"/>
    <n v="0.958990536277603"/>
  </r>
  <r>
    <n v="1104"/>
    <x v="5"/>
    <x v="1"/>
    <x v="0"/>
    <x v="0"/>
    <x v="3"/>
    <x v="13"/>
    <n v="21700"/>
    <x v="101"/>
    <n v="0.15"/>
    <n v="147560"/>
    <x v="89"/>
    <n v="1.0585365853658499"/>
  </r>
  <r>
    <n v="1105"/>
    <x v="5"/>
    <x v="1"/>
    <x v="0"/>
    <x v="1"/>
    <x v="4"/>
    <x v="16"/>
    <n v="4300"/>
    <x v="102"/>
    <n v="0.1"/>
    <n v="77400"/>
    <x v="90"/>
    <n v="1.19444444444444"/>
  </r>
  <r>
    <n v="1106"/>
    <x v="5"/>
    <x v="1"/>
    <x v="1"/>
    <x v="2"/>
    <x v="0"/>
    <x v="14"/>
    <n v="63500"/>
    <x v="103"/>
    <n v="0"/>
    <n v="381000"/>
    <x v="91"/>
    <n v="0.86788154897494296"/>
  </r>
  <r>
    <n v="1107"/>
    <x v="5"/>
    <x v="1"/>
    <x v="1"/>
    <x v="2"/>
    <x v="1"/>
    <x v="22"/>
    <n v="31400"/>
    <x v="104"/>
    <n v="0.1"/>
    <n v="310860"/>
    <x v="92"/>
    <n v="0.96750700280112101"/>
  </r>
  <r>
    <n v="1108"/>
    <x v="5"/>
    <x v="1"/>
    <x v="1"/>
    <x v="2"/>
    <x v="2"/>
    <x v="10"/>
    <n v="19200"/>
    <x v="105"/>
    <n v="0.05"/>
    <n v="255360"/>
    <x v="93"/>
    <n v="0.79762611275964401"/>
  </r>
  <r>
    <n v="1109"/>
    <x v="5"/>
    <x v="1"/>
    <x v="1"/>
    <x v="2"/>
    <x v="3"/>
    <x v="11"/>
    <n v="21500"/>
    <x v="106"/>
    <n v="0"/>
    <n v="279500"/>
    <x v="94"/>
    <n v="0.787323943661972"/>
  </r>
  <r>
    <n v="1110"/>
    <x v="5"/>
    <x v="1"/>
    <x v="1"/>
    <x v="3"/>
    <x v="4"/>
    <x v="17"/>
    <n v="4400"/>
    <x v="107"/>
    <n v="0.05"/>
    <n v="142120"/>
    <x v="75"/>
    <n v="0.93500000000000005"/>
  </r>
  <r>
    <n v="1111"/>
    <x v="5"/>
    <x v="1"/>
    <x v="2"/>
    <x v="4"/>
    <x v="0"/>
    <x v="7"/>
    <n v="61400"/>
    <x v="108"/>
    <n v="0.05"/>
    <n v="583300"/>
    <x v="95"/>
    <n v="0.95937499999999998"/>
  </r>
  <r>
    <n v="1112"/>
    <x v="5"/>
    <x v="1"/>
    <x v="2"/>
    <x v="5"/>
    <x v="1"/>
    <x v="7"/>
    <n v="33100"/>
    <x v="109"/>
    <n v="0.05"/>
    <n v="314450"/>
    <x v="96"/>
    <n v="0.85974025974026003"/>
  </r>
  <r>
    <n v="1113"/>
    <x v="5"/>
    <x v="1"/>
    <x v="2"/>
    <x v="5"/>
    <x v="2"/>
    <x v="3"/>
    <n v="19700"/>
    <x v="110"/>
    <n v="0.1"/>
    <n v="212760"/>
    <x v="31"/>
    <n v="1.23125"/>
  </r>
  <r>
    <n v="1114"/>
    <x v="5"/>
    <x v="1"/>
    <x v="2"/>
    <x v="5"/>
    <x v="3"/>
    <x v="11"/>
    <n v="22300"/>
    <x v="86"/>
    <n v="0"/>
    <n v="289900"/>
    <x v="8"/>
    <n v="1.1881147540983601"/>
  </r>
  <r>
    <n v="1115"/>
    <x v="5"/>
    <x v="1"/>
    <x v="2"/>
    <x v="5"/>
    <x v="4"/>
    <x v="10"/>
    <n v="4800"/>
    <x v="111"/>
    <n v="0"/>
    <n v="67200"/>
    <x v="97"/>
    <n v="1.2218181818181799"/>
  </r>
  <r>
    <n v="1116"/>
    <x v="5"/>
    <x v="1"/>
    <x v="3"/>
    <x v="7"/>
    <x v="0"/>
    <x v="13"/>
    <n v="61300"/>
    <x v="112"/>
    <n v="0.05"/>
    <n v="465880"/>
    <x v="98"/>
    <n v="1.03242105263158"/>
  </r>
  <r>
    <n v="1117"/>
    <x v="5"/>
    <x v="1"/>
    <x v="3"/>
    <x v="7"/>
    <x v="1"/>
    <x v="2"/>
    <n v="33600"/>
    <x v="113"/>
    <n v="0.05"/>
    <n v="287280"/>
    <x v="99"/>
    <n v="1.08"/>
  </r>
  <r>
    <n v="1118"/>
    <x v="5"/>
    <x v="1"/>
    <x v="3"/>
    <x v="6"/>
    <x v="2"/>
    <x v="23"/>
    <n v="16300"/>
    <x v="114"/>
    <n v="0.1"/>
    <n v="337410"/>
    <x v="100"/>
    <n v="1.20935483870968"/>
  </r>
  <r>
    <n v="1119"/>
    <x v="5"/>
    <x v="1"/>
    <x v="3"/>
    <x v="7"/>
    <x v="3"/>
    <x v="9"/>
    <n v="22700"/>
    <x v="115"/>
    <n v="0.15"/>
    <n v="135065"/>
    <x v="101"/>
    <n v="1.2223076923076901"/>
  </r>
  <r>
    <n v="1120"/>
    <x v="5"/>
    <x v="1"/>
    <x v="3"/>
    <x v="6"/>
    <x v="4"/>
    <x v="30"/>
    <n v="4300"/>
    <x v="116"/>
    <n v="0"/>
    <n v="172000"/>
    <x v="102"/>
    <n v="0.90052356020942403"/>
  </r>
  <r>
    <n v="1121"/>
    <x v="6"/>
    <x v="2"/>
    <x v="0"/>
    <x v="0"/>
    <x v="0"/>
    <x v="5"/>
    <n v="64700"/>
    <x v="117"/>
    <n v="0"/>
    <n v="323500"/>
    <x v="103"/>
    <n v="0.92428571428571404"/>
  </r>
  <r>
    <n v="1122"/>
    <x v="6"/>
    <x v="2"/>
    <x v="0"/>
    <x v="0"/>
    <x v="1"/>
    <x v="3"/>
    <n v="33300"/>
    <x v="118"/>
    <n v="0.05"/>
    <n v="379620"/>
    <x v="104"/>
    <n v="1.13201133144476"/>
  </r>
  <r>
    <n v="1123"/>
    <x v="6"/>
    <x v="2"/>
    <x v="0"/>
    <x v="0"/>
    <x v="2"/>
    <x v="11"/>
    <n v="19700"/>
    <x v="119"/>
    <n v="0"/>
    <n v="256100"/>
    <x v="105"/>
    <n v="0.91792114695340499"/>
  </r>
  <r>
    <n v="1124"/>
    <x v="6"/>
    <x v="2"/>
    <x v="0"/>
    <x v="1"/>
    <x v="3"/>
    <x v="11"/>
    <n v="22800"/>
    <x v="120"/>
    <n v="0.05"/>
    <n v="281580"/>
    <x v="106"/>
    <n v="1.0013513513513499"/>
  </r>
  <r>
    <n v="1125"/>
    <x v="6"/>
    <x v="2"/>
    <x v="0"/>
    <x v="0"/>
    <x v="4"/>
    <x v="3"/>
    <n v="4600"/>
    <x v="121"/>
    <n v="0.15"/>
    <n v="46920"/>
    <x v="107"/>
    <n v="1.0823529411764701"/>
  </r>
  <r>
    <n v="1126"/>
    <x v="6"/>
    <x v="2"/>
    <x v="1"/>
    <x v="3"/>
    <x v="0"/>
    <x v="3"/>
    <n v="69000"/>
    <x v="122"/>
    <n v="0.1"/>
    <n v="745200"/>
    <x v="108"/>
    <n v="0.83975659229208899"/>
  </r>
  <r>
    <n v="1127"/>
    <x v="6"/>
    <x v="2"/>
    <x v="1"/>
    <x v="3"/>
    <x v="1"/>
    <x v="11"/>
    <n v="31500"/>
    <x v="123"/>
    <n v="0.05"/>
    <n v="389025"/>
    <x v="13"/>
    <n v="1.1973684210526301"/>
  </r>
  <r>
    <n v="1128"/>
    <x v="6"/>
    <x v="2"/>
    <x v="1"/>
    <x v="3"/>
    <x v="2"/>
    <x v="13"/>
    <n v="19300"/>
    <x v="124"/>
    <n v="0.05"/>
    <n v="146680"/>
    <x v="109"/>
    <n v="1.1696969696969699"/>
  </r>
  <r>
    <n v="1129"/>
    <x v="6"/>
    <x v="2"/>
    <x v="1"/>
    <x v="3"/>
    <x v="3"/>
    <x v="10"/>
    <n v="23700"/>
    <x v="125"/>
    <n v="0.05"/>
    <n v="315210"/>
    <x v="20"/>
    <n v="0.86631853785900803"/>
  </r>
  <r>
    <n v="1130"/>
    <x v="6"/>
    <x v="2"/>
    <x v="1"/>
    <x v="3"/>
    <x v="4"/>
    <x v="1"/>
    <n v="4700"/>
    <x v="126"/>
    <n v="0.15"/>
    <n v="59925"/>
    <x v="110"/>
    <n v="1.0681818181818199"/>
  </r>
  <r>
    <n v="1131"/>
    <x v="6"/>
    <x v="2"/>
    <x v="2"/>
    <x v="5"/>
    <x v="0"/>
    <x v="7"/>
    <n v="64200"/>
    <x v="88"/>
    <n v="0.15"/>
    <n v="545700"/>
    <x v="111"/>
    <n v="0.91193181818181801"/>
  </r>
  <r>
    <n v="1132"/>
    <x v="6"/>
    <x v="2"/>
    <x v="2"/>
    <x v="5"/>
    <x v="1"/>
    <x v="28"/>
    <n v="30400"/>
    <x v="127"/>
    <n v="0"/>
    <n v="547200"/>
    <x v="112"/>
    <n v="1.0645914396887199"/>
  </r>
  <r>
    <n v="1133"/>
    <x v="6"/>
    <x v="2"/>
    <x v="2"/>
    <x v="5"/>
    <x v="2"/>
    <x v="1"/>
    <n v="18900"/>
    <x v="128"/>
    <n v="0.1"/>
    <n v="255150"/>
    <x v="113"/>
    <n v="0.905750798722045"/>
  </r>
  <r>
    <n v="1134"/>
    <x v="6"/>
    <x v="2"/>
    <x v="2"/>
    <x v="5"/>
    <x v="3"/>
    <x v="2"/>
    <n v="19900"/>
    <x v="63"/>
    <n v="0.05"/>
    <n v="170145"/>
    <x v="75"/>
    <n v="1.119375"/>
  </r>
  <r>
    <n v="1135"/>
    <x v="6"/>
    <x v="2"/>
    <x v="2"/>
    <x v="4"/>
    <x v="4"/>
    <x v="29"/>
    <n v="4800"/>
    <x v="129"/>
    <n v="0.05"/>
    <n v="95760"/>
    <x v="114"/>
    <n v="1.0610526315789499"/>
  </r>
  <r>
    <n v="1136"/>
    <x v="6"/>
    <x v="2"/>
    <x v="3"/>
    <x v="7"/>
    <x v="0"/>
    <x v="22"/>
    <n v="58600"/>
    <x v="130"/>
    <n v="0"/>
    <n v="644600"/>
    <x v="115"/>
    <n v="1.1871086556169399"/>
  </r>
  <r>
    <n v="1137"/>
    <x v="6"/>
    <x v="2"/>
    <x v="3"/>
    <x v="7"/>
    <x v="1"/>
    <x v="3"/>
    <n v="32400"/>
    <x v="131"/>
    <n v="0"/>
    <n v="388800"/>
    <x v="67"/>
    <n v="0.87370786516853904"/>
  </r>
  <r>
    <n v="1138"/>
    <x v="6"/>
    <x v="2"/>
    <x v="3"/>
    <x v="7"/>
    <x v="2"/>
    <x v="20"/>
    <n v="19100"/>
    <x v="132"/>
    <n v="0"/>
    <n v="420200"/>
    <x v="116"/>
    <n v="1.0557788944723601"/>
  </r>
  <r>
    <n v="1139"/>
    <x v="6"/>
    <x v="2"/>
    <x v="3"/>
    <x v="7"/>
    <x v="3"/>
    <x v="1"/>
    <n v="20900"/>
    <x v="133"/>
    <n v="0.15"/>
    <n v="266475"/>
    <x v="13"/>
    <n v="0.91666666666666696"/>
  </r>
  <r>
    <n v="1140"/>
    <x v="6"/>
    <x v="2"/>
    <x v="3"/>
    <x v="7"/>
    <x v="4"/>
    <x v="31"/>
    <n v="4500"/>
    <x v="134"/>
    <n v="0.05"/>
    <n v="115425"/>
    <x v="117"/>
    <n v="0.768987341772152"/>
  </r>
  <r>
    <n v="1141"/>
    <x v="7"/>
    <x v="2"/>
    <x v="0"/>
    <x v="1"/>
    <x v="0"/>
    <x v="13"/>
    <n v="67600"/>
    <x v="135"/>
    <n v="0.05"/>
    <n v="513760"/>
    <x v="118"/>
    <n v="1.04806201550388"/>
  </r>
  <r>
    <n v="1142"/>
    <x v="7"/>
    <x v="2"/>
    <x v="0"/>
    <x v="0"/>
    <x v="1"/>
    <x v="14"/>
    <n v="33400"/>
    <x v="136"/>
    <n v="0.05"/>
    <n v="190380"/>
    <x v="119"/>
    <n v="1.16511627906977"/>
  </r>
  <r>
    <n v="1143"/>
    <x v="7"/>
    <x v="2"/>
    <x v="0"/>
    <x v="0"/>
    <x v="2"/>
    <x v="10"/>
    <n v="17000"/>
    <x v="137"/>
    <n v="0.05"/>
    <n v="226100"/>
    <x v="120"/>
    <n v="1.06726457399103"/>
  </r>
  <r>
    <n v="1144"/>
    <x v="7"/>
    <x v="2"/>
    <x v="0"/>
    <x v="1"/>
    <x v="3"/>
    <x v="5"/>
    <n v="23500"/>
    <x v="138"/>
    <n v="0.05"/>
    <n v="111625"/>
    <x v="121"/>
    <n v="1.0981308411215001"/>
  </r>
  <r>
    <n v="1145"/>
    <x v="7"/>
    <x v="2"/>
    <x v="0"/>
    <x v="0"/>
    <x v="4"/>
    <x v="6"/>
    <n v="4100"/>
    <x v="139"/>
    <n v="0.1"/>
    <n v="70110"/>
    <x v="122"/>
    <n v="1.16268656716418"/>
  </r>
  <r>
    <n v="1146"/>
    <x v="7"/>
    <x v="2"/>
    <x v="1"/>
    <x v="2"/>
    <x v="0"/>
    <x v="0"/>
    <n v="65700"/>
    <x v="140"/>
    <n v="0.15"/>
    <n v="167535"/>
    <x v="11"/>
    <n v="0.785258964143426"/>
  </r>
  <r>
    <n v="1147"/>
    <x v="7"/>
    <x v="2"/>
    <x v="1"/>
    <x v="3"/>
    <x v="1"/>
    <x v="14"/>
    <n v="34400"/>
    <x v="60"/>
    <n v="0.1"/>
    <n v="185760"/>
    <x v="123"/>
    <n v="1.0639175257732001"/>
  </r>
  <r>
    <n v="1148"/>
    <x v="7"/>
    <x v="2"/>
    <x v="1"/>
    <x v="3"/>
    <x v="2"/>
    <x v="20"/>
    <n v="17400"/>
    <x v="141"/>
    <n v="0"/>
    <n v="382800"/>
    <x v="94"/>
    <n v="1.0783098591549301"/>
  </r>
  <r>
    <n v="1149"/>
    <x v="7"/>
    <x v="2"/>
    <x v="1"/>
    <x v="3"/>
    <x v="3"/>
    <x v="5"/>
    <n v="23400"/>
    <x v="142"/>
    <n v="0.05"/>
    <n v="111150"/>
    <x v="124"/>
    <n v="0.95901639344262302"/>
  </r>
  <r>
    <n v="1150"/>
    <x v="7"/>
    <x v="2"/>
    <x v="1"/>
    <x v="2"/>
    <x v="4"/>
    <x v="10"/>
    <n v="4200"/>
    <x v="143"/>
    <n v="0.1"/>
    <n v="52920"/>
    <x v="125"/>
    <n v="0.78400000000000003"/>
  </r>
  <r>
    <n v="1151"/>
    <x v="7"/>
    <x v="2"/>
    <x v="2"/>
    <x v="4"/>
    <x v="0"/>
    <x v="14"/>
    <n v="60000"/>
    <x v="144"/>
    <n v="0.05"/>
    <n v="342000"/>
    <x v="126"/>
    <n v="0.90680100755667503"/>
  </r>
  <r>
    <n v="1152"/>
    <x v="7"/>
    <x v="2"/>
    <x v="2"/>
    <x v="4"/>
    <x v="1"/>
    <x v="4"/>
    <n v="32100"/>
    <x v="145"/>
    <n v="0.05"/>
    <n v="518415"/>
    <x v="127"/>
    <n v="0.79780701754385996"/>
  </r>
  <r>
    <n v="1153"/>
    <x v="7"/>
    <x v="2"/>
    <x v="2"/>
    <x v="5"/>
    <x v="2"/>
    <x v="29"/>
    <n v="17300"/>
    <x v="146"/>
    <n v="0.1"/>
    <n v="326970"/>
    <x v="128"/>
    <n v="1.20298013245033"/>
  </r>
  <r>
    <n v="1154"/>
    <x v="7"/>
    <x v="2"/>
    <x v="2"/>
    <x v="4"/>
    <x v="3"/>
    <x v="9"/>
    <n v="22600"/>
    <x v="147"/>
    <n v="0.05"/>
    <n v="150290"/>
    <x v="129"/>
    <n v="0.88379888268156404"/>
  </r>
  <r>
    <n v="1155"/>
    <x v="7"/>
    <x v="2"/>
    <x v="2"/>
    <x v="4"/>
    <x v="4"/>
    <x v="4"/>
    <n v="4200"/>
    <x v="148"/>
    <n v="0"/>
    <n v="71400"/>
    <x v="130"/>
    <n v="1.13333333333333"/>
  </r>
  <r>
    <n v="1156"/>
    <x v="7"/>
    <x v="2"/>
    <x v="3"/>
    <x v="7"/>
    <x v="0"/>
    <x v="7"/>
    <n v="67500"/>
    <x v="149"/>
    <n v="0.05"/>
    <n v="641250"/>
    <x v="131"/>
    <n v="1.05799373040752"/>
  </r>
  <r>
    <n v="1157"/>
    <x v="7"/>
    <x v="2"/>
    <x v="3"/>
    <x v="6"/>
    <x v="1"/>
    <x v="2"/>
    <n v="33300"/>
    <x v="150"/>
    <n v="0.15"/>
    <n v="254745"/>
    <x v="132"/>
    <n v="0.81219512195122001"/>
  </r>
  <r>
    <n v="1158"/>
    <x v="7"/>
    <x v="2"/>
    <x v="3"/>
    <x v="6"/>
    <x v="2"/>
    <x v="1"/>
    <n v="19500"/>
    <x v="151"/>
    <n v="0.15"/>
    <n v="248625"/>
    <x v="133"/>
    <n v="0.9140625"/>
  </r>
  <r>
    <n v="1159"/>
    <x v="7"/>
    <x v="2"/>
    <x v="3"/>
    <x v="6"/>
    <x v="3"/>
    <x v="7"/>
    <n v="20300"/>
    <x v="152"/>
    <n v="0"/>
    <n v="203000"/>
    <x v="134"/>
    <n v="0.890350877192982"/>
  </r>
  <r>
    <n v="1160"/>
    <x v="7"/>
    <x v="2"/>
    <x v="3"/>
    <x v="7"/>
    <x v="4"/>
    <x v="26"/>
    <n v="4200"/>
    <x v="153"/>
    <n v="0"/>
    <n v="151200"/>
    <x v="2"/>
    <n v="1.12835820895522"/>
  </r>
  <r>
    <n v="1161"/>
    <x v="8"/>
    <x v="2"/>
    <x v="0"/>
    <x v="1"/>
    <x v="0"/>
    <x v="3"/>
    <n v="68200"/>
    <x v="154"/>
    <n v="0.1"/>
    <n v="736560"/>
    <x v="135"/>
    <n v="0.79302325581395405"/>
  </r>
  <r>
    <n v="1162"/>
    <x v="8"/>
    <x v="2"/>
    <x v="0"/>
    <x v="1"/>
    <x v="1"/>
    <x v="14"/>
    <n v="31800"/>
    <x v="155"/>
    <n v="0.05"/>
    <n v="181260"/>
    <x v="136"/>
    <n v="0.87123287671232896"/>
  </r>
  <r>
    <n v="1163"/>
    <x v="8"/>
    <x v="2"/>
    <x v="0"/>
    <x v="1"/>
    <x v="2"/>
    <x v="12"/>
    <n v="18100"/>
    <x v="156"/>
    <n v="0.05"/>
    <n v="412680"/>
    <x v="137"/>
    <n v="1.19013698630137"/>
  </r>
  <r>
    <n v="1164"/>
    <x v="8"/>
    <x v="2"/>
    <x v="0"/>
    <x v="0"/>
    <x v="3"/>
    <x v="7"/>
    <n v="23000"/>
    <x v="157"/>
    <n v="0.1"/>
    <n v="207000"/>
    <x v="138"/>
    <n v="1.07981220657277"/>
  </r>
  <r>
    <n v="1165"/>
    <x v="8"/>
    <x v="2"/>
    <x v="0"/>
    <x v="0"/>
    <x v="4"/>
    <x v="4"/>
    <n v="4900"/>
    <x v="158"/>
    <n v="0.1"/>
    <n v="74970"/>
    <x v="139"/>
    <n v="0.91538461538461502"/>
  </r>
  <r>
    <n v="1166"/>
    <x v="8"/>
    <x v="2"/>
    <x v="1"/>
    <x v="2"/>
    <x v="0"/>
    <x v="9"/>
    <n v="66000"/>
    <x v="159"/>
    <n v="0"/>
    <n v="462000"/>
    <x v="140"/>
    <n v="0.96652719665272002"/>
  </r>
  <r>
    <n v="1167"/>
    <x v="8"/>
    <x v="2"/>
    <x v="1"/>
    <x v="3"/>
    <x v="1"/>
    <x v="2"/>
    <n v="30000"/>
    <x v="160"/>
    <n v="0.1"/>
    <n v="243000"/>
    <x v="141"/>
    <n v="0.98181818181818203"/>
  </r>
  <r>
    <n v="1168"/>
    <x v="8"/>
    <x v="2"/>
    <x v="1"/>
    <x v="3"/>
    <x v="2"/>
    <x v="7"/>
    <n v="17900"/>
    <x v="161"/>
    <n v="0.05"/>
    <n v="170050"/>
    <x v="62"/>
    <n v="1.03468208092486"/>
  </r>
  <r>
    <n v="1169"/>
    <x v="8"/>
    <x v="2"/>
    <x v="1"/>
    <x v="2"/>
    <x v="3"/>
    <x v="14"/>
    <n v="21300"/>
    <x v="162"/>
    <n v="0.15"/>
    <n v="108630"/>
    <x v="2"/>
    <n v="0.953731343283582"/>
  </r>
  <r>
    <n v="1170"/>
    <x v="8"/>
    <x v="2"/>
    <x v="1"/>
    <x v="3"/>
    <x v="4"/>
    <x v="26"/>
    <n v="4700"/>
    <x v="163"/>
    <n v="0"/>
    <n v="169200"/>
    <x v="142"/>
    <n v="0.972413793103448"/>
  </r>
  <r>
    <n v="1171"/>
    <x v="8"/>
    <x v="2"/>
    <x v="2"/>
    <x v="5"/>
    <x v="0"/>
    <x v="9"/>
    <n v="62700"/>
    <x v="164"/>
    <n v="0.05"/>
    <n v="416955"/>
    <x v="143"/>
    <n v="0.81127541589648799"/>
  </r>
  <r>
    <n v="1172"/>
    <x v="8"/>
    <x v="2"/>
    <x v="2"/>
    <x v="4"/>
    <x v="1"/>
    <x v="1"/>
    <n v="34400"/>
    <x v="165"/>
    <n v="0.05"/>
    <n v="490200"/>
    <x v="144"/>
    <n v="0.99421965317919103"/>
  </r>
  <r>
    <n v="1173"/>
    <x v="8"/>
    <x v="2"/>
    <x v="2"/>
    <x v="4"/>
    <x v="2"/>
    <x v="12"/>
    <n v="17500"/>
    <x v="166"/>
    <n v="0.05"/>
    <n v="399000"/>
    <x v="145"/>
    <n v="0.899357601713062"/>
  </r>
  <r>
    <n v="1174"/>
    <x v="8"/>
    <x v="2"/>
    <x v="2"/>
    <x v="4"/>
    <x v="3"/>
    <x v="9"/>
    <n v="21000"/>
    <x v="167"/>
    <n v="0"/>
    <n v="147000"/>
    <x v="0"/>
    <n v="0.79032258064516103"/>
  </r>
  <r>
    <n v="1175"/>
    <x v="8"/>
    <x v="2"/>
    <x v="2"/>
    <x v="5"/>
    <x v="4"/>
    <x v="24"/>
    <n v="4700"/>
    <x v="168"/>
    <n v="0"/>
    <n v="178600"/>
    <x v="146"/>
    <n v="1.23172413793103"/>
  </r>
  <r>
    <n v="1176"/>
    <x v="8"/>
    <x v="2"/>
    <x v="3"/>
    <x v="6"/>
    <x v="0"/>
    <x v="5"/>
    <n v="62500"/>
    <x v="169"/>
    <n v="0"/>
    <n v="312500"/>
    <x v="147"/>
    <n v="0.93005952380952395"/>
  </r>
  <r>
    <n v="1177"/>
    <x v="8"/>
    <x v="2"/>
    <x v="3"/>
    <x v="6"/>
    <x v="1"/>
    <x v="13"/>
    <n v="35200"/>
    <x v="170"/>
    <n v="0"/>
    <n v="281600"/>
    <x v="148"/>
    <n v="0.97103448275862103"/>
  </r>
  <r>
    <n v="1178"/>
    <x v="8"/>
    <x v="2"/>
    <x v="3"/>
    <x v="6"/>
    <x v="2"/>
    <x v="3"/>
    <n v="18000"/>
    <x v="171"/>
    <n v="0.15"/>
    <n v="183600"/>
    <x v="149"/>
    <n v="1.0588235294117601"/>
  </r>
  <r>
    <n v="1179"/>
    <x v="8"/>
    <x v="2"/>
    <x v="3"/>
    <x v="7"/>
    <x v="3"/>
    <x v="7"/>
    <n v="23500"/>
    <x v="172"/>
    <n v="0.05"/>
    <n v="223250"/>
    <x v="49"/>
    <n v="1.08294930875576"/>
  </r>
  <r>
    <n v="1180"/>
    <x v="8"/>
    <x v="2"/>
    <x v="3"/>
    <x v="6"/>
    <x v="4"/>
    <x v="20"/>
    <n v="4200"/>
    <x v="82"/>
    <n v="0.1"/>
    <n v="83160"/>
    <x v="9"/>
    <n v="0.95257731958762903"/>
  </r>
  <r>
    <n v="1181"/>
    <x v="9"/>
    <x v="3"/>
    <x v="0"/>
    <x v="0"/>
    <x v="0"/>
    <x v="21"/>
    <n v="62100"/>
    <x v="3"/>
    <n v="0.05"/>
    <n v="235980"/>
    <x v="88"/>
    <n v="1.0307053941908699"/>
  </r>
  <r>
    <n v="1182"/>
    <x v="9"/>
    <x v="3"/>
    <x v="0"/>
    <x v="1"/>
    <x v="1"/>
    <x v="28"/>
    <n v="28800"/>
    <x v="173"/>
    <n v="0.15"/>
    <n v="440640"/>
    <x v="150"/>
    <n v="1.0536585365853699"/>
  </r>
  <r>
    <n v="1183"/>
    <x v="9"/>
    <x v="3"/>
    <x v="0"/>
    <x v="1"/>
    <x v="2"/>
    <x v="3"/>
    <n v="17800"/>
    <x v="174"/>
    <n v="0.05"/>
    <n v="202920"/>
    <x v="151"/>
    <n v="1.0269230769230799"/>
  </r>
  <r>
    <n v="1184"/>
    <x v="9"/>
    <x v="3"/>
    <x v="0"/>
    <x v="1"/>
    <x v="3"/>
    <x v="22"/>
    <n v="23900"/>
    <x v="175"/>
    <n v="0"/>
    <n v="262900"/>
    <x v="152"/>
    <n v="0.77551622418879096"/>
  </r>
  <r>
    <n v="1185"/>
    <x v="9"/>
    <x v="3"/>
    <x v="0"/>
    <x v="0"/>
    <x v="4"/>
    <x v="8"/>
    <n v="4400"/>
    <x v="176"/>
    <n v="0.05"/>
    <n v="117040"/>
    <x v="153"/>
    <n v="1.21980198019802"/>
  </r>
  <r>
    <n v="1186"/>
    <x v="9"/>
    <x v="3"/>
    <x v="1"/>
    <x v="3"/>
    <x v="0"/>
    <x v="2"/>
    <n v="63500"/>
    <x v="177"/>
    <n v="0.15"/>
    <n v="485775"/>
    <x v="127"/>
    <n v="0.83552631578947401"/>
  </r>
  <r>
    <n v="1187"/>
    <x v="9"/>
    <x v="3"/>
    <x v="1"/>
    <x v="2"/>
    <x v="1"/>
    <x v="3"/>
    <n v="35000"/>
    <x v="166"/>
    <n v="0"/>
    <n v="420000"/>
    <x v="154"/>
    <n v="0.952380952380952"/>
  </r>
  <r>
    <n v="1188"/>
    <x v="9"/>
    <x v="3"/>
    <x v="1"/>
    <x v="3"/>
    <x v="2"/>
    <x v="22"/>
    <n v="19300"/>
    <x v="178"/>
    <n v="0.05"/>
    <n v="201685"/>
    <x v="155"/>
    <n v="1.1794444444444401"/>
  </r>
  <r>
    <n v="1189"/>
    <x v="9"/>
    <x v="3"/>
    <x v="1"/>
    <x v="3"/>
    <x v="3"/>
    <x v="21"/>
    <n v="23000"/>
    <x v="179"/>
    <n v="0.05"/>
    <n v="87400"/>
    <x v="156"/>
    <n v="0.80701754385964897"/>
  </r>
  <r>
    <n v="1190"/>
    <x v="9"/>
    <x v="3"/>
    <x v="1"/>
    <x v="2"/>
    <x v="4"/>
    <x v="3"/>
    <n v="4500"/>
    <x v="180"/>
    <n v="0.05"/>
    <n v="51300"/>
    <x v="157"/>
    <n v="1.0384615384615401"/>
  </r>
  <r>
    <n v="1191"/>
    <x v="9"/>
    <x v="3"/>
    <x v="2"/>
    <x v="5"/>
    <x v="0"/>
    <x v="21"/>
    <n v="69600"/>
    <x v="181"/>
    <n v="0.15"/>
    <n v="236640"/>
    <x v="13"/>
    <n v="0.814035087719298"/>
  </r>
  <r>
    <n v="1192"/>
    <x v="9"/>
    <x v="3"/>
    <x v="2"/>
    <x v="5"/>
    <x v="1"/>
    <x v="7"/>
    <n v="32800"/>
    <x v="182"/>
    <n v="0.05"/>
    <n v="311600"/>
    <x v="158"/>
    <n v="0.80987654320987701"/>
  </r>
  <r>
    <n v="1193"/>
    <x v="9"/>
    <x v="3"/>
    <x v="2"/>
    <x v="4"/>
    <x v="2"/>
    <x v="7"/>
    <n v="17000"/>
    <x v="183"/>
    <n v="0.15"/>
    <n v="144500"/>
    <x v="159"/>
    <n v="0.79439252336448596"/>
  </r>
  <r>
    <n v="1194"/>
    <x v="9"/>
    <x v="3"/>
    <x v="2"/>
    <x v="4"/>
    <x v="3"/>
    <x v="1"/>
    <n v="20200"/>
    <x v="184"/>
    <n v="0"/>
    <n v="303000"/>
    <x v="160"/>
    <n v="0.84636871508379896"/>
  </r>
  <r>
    <n v="1195"/>
    <x v="9"/>
    <x v="3"/>
    <x v="2"/>
    <x v="4"/>
    <x v="4"/>
    <x v="12"/>
    <n v="4200"/>
    <x v="129"/>
    <n v="0.05"/>
    <n v="95760"/>
    <x v="64"/>
    <n v="0.8"/>
  </r>
  <r>
    <n v="1196"/>
    <x v="9"/>
    <x v="3"/>
    <x v="3"/>
    <x v="6"/>
    <x v="0"/>
    <x v="13"/>
    <n v="68800"/>
    <x v="185"/>
    <n v="0.05"/>
    <n v="522880"/>
    <x v="161"/>
    <n v="1.0211502782931401"/>
  </r>
  <r>
    <n v="1197"/>
    <x v="9"/>
    <x v="3"/>
    <x v="3"/>
    <x v="7"/>
    <x v="1"/>
    <x v="9"/>
    <n v="30400"/>
    <x v="186"/>
    <n v="0.05"/>
    <n v="202160"/>
    <x v="162"/>
    <n v="0.92521739130434799"/>
  </r>
  <r>
    <n v="1198"/>
    <x v="9"/>
    <x v="3"/>
    <x v="3"/>
    <x v="6"/>
    <x v="2"/>
    <x v="11"/>
    <n v="16800"/>
    <x v="187"/>
    <n v="0.1"/>
    <n v="196560"/>
    <x v="163"/>
    <n v="0.80888888888888899"/>
  </r>
  <r>
    <n v="1199"/>
    <x v="9"/>
    <x v="3"/>
    <x v="3"/>
    <x v="6"/>
    <x v="3"/>
    <x v="22"/>
    <n v="23800"/>
    <x v="188"/>
    <n v="0"/>
    <n v="261800"/>
    <x v="164"/>
    <n v="1.09083333333333"/>
  </r>
  <r>
    <n v="1200"/>
    <x v="9"/>
    <x v="3"/>
    <x v="3"/>
    <x v="7"/>
    <x v="4"/>
    <x v="12"/>
    <n v="4300"/>
    <x v="189"/>
    <n v="0"/>
    <n v="103200"/>
    <x v="165"/>
    <n v="0.8"/>
  </r>
  <r>
    <n v="1201"/>
    <x v="10"/>
    <x v="3"/>
    <x v="0"/>
    <x v="1"/>
    <x v="0"/>
    <x v="9"/>
    <n v="67300"/>
    <x v="190"/>
    <n v="0"/>
    <n v="471100"/>
    <x v="166"/>
    <n v="1.1956852791878201"/>
  </r>
  <r>
    <n v="1202"/>
    <x v="10"/>
    <x v="3"/>
    <x v="0"/>
    <x v="1"/>
    <x v="1"/>
    <x v="10"/>
    <n v="30700"/>
    <x v="191"/>
    <n v="0.05"/>
    <n v="408310"/>
    <x v="150"/>
    <n v="0.87357723577235802"/>
  </r>
  <r>
    <n v="1203"/>
    <x v="10"/>
    <x v="3"/>
    <x v="0"/>
    <x v="1"/>
    <x v="2"/>
    <x v="4"/>
    <n v="16900"/>
    <x v="192"/>
    <n v="0.05"/>
    <n v="272935"/>
    <x v="167"/>
    <n v="0.81619318181818201"/>
  </r>
  <r>
    <n v="1204"/>
    <x v="10"/>
    <x v="3"/>
    <x v="0"/>
    <x v="0"/>
    <x v="3"/>
    <x v="9"/>
    <n v="21500"/>
    <x v="193"/>
    <n v="0.05"/>
    <n v="142975"/>
    <x v="89"/>
    <n v="0.917682926829268"/>
  </r>
  <r>
    <n v="1205"/>
    <x v="10"/>
    <x v="3"/>
    <x v="0"/>
    <x v="1"/>
    <x v="4"/>
    <x v="7"/>
    <n v="4900"/>
    <x v="194"/>
    <n v="0.15"/>
    <n v="41650"/>
    <x v="168"/>
    <n v="1"/>
  </r>
  <r>
    <n v="1206"/>
    <x v="10"/>
    <x v="3"/>
    <x v="1"/>
    <x v="2"/>
    <x v="0"/>
    <x v="3"/>
    <n v="69700"/>
    <x v="195"/>
    <n v="0.15"/>
    <n v="710940"/>
    <x v="169"/>
    <n v="0.77732342007434896"/>
  </r>
  <r>
    <n v="1207"/>
    <x v="10"/>
    <x v="3"/>
    <x v="1"/>
    <x v="3"/>
    <x v="1"/>
    <x v="28"/>
    <n v="34600"/>
    <x v="196"/>
    <n v="0.05"/>
    <n v="591660"/>
    <x v="170"/>
    <n v="0.84162162162162202"/>
  </r>
  <r>
    <n v="1208"/>
    <x v="10"/>
    <x v="3"/>
    <x v="1"/>
    <x v="2"/>
    <x v="2"/>
    <x v="6"/>
    <n v="17000"/>
    <x v="197"/>
    <n v="0"/>
    <n v="323000"/>
    <x v="171"/>
    <n v="0.89972144846796698"/>
  </r>
  <r>
    <n v="1209"/>
    <x v="10"/>
    <x v="3"/>
    <x v="1"/>
    <x v="2"/>
    <x v="3"/>
    <x v="10"/>
    <n v="20200"/>
    <x v="198"/>
    <n v="0.15"/>
    <n v="240380"/>
    <x v="172"/>
    <n v="0.88930817610062896"/>
  </r>
  <r>
    <n v="1210"/>
    <x v="10"/>
    <x v="3"/>
    <x v="1"/>
    <x v="3"/>
    <x v="4"/>
    <x v="27"/>
    <n v="4400"/>
    <x v="199"/>
    <n v="0.1"/>
    <n v="138600"/>
    <x v="173"/>
    <n v="1.0198675496688701"/>
  </r>
  <r>
    <n v="1211"/>
    <x v="10"/>
    <x v="3"/>
    <x v="2"/>
    <x v="4"/>
    <x v="0"/>
    <x v="21"/>
    <n v="70300"/>
    <x v="200"/>
    <n v="0.05"/>
    <n v="267140"/>
    <x v="12"/>
    <n v="0.85212121212121195"/>
  </r>
  <r>
    <n v="1212"/>
    <x v="10"/>
    <x v="3"/>
    <x v="2"/>
    <x v="4"/>
    <x v="1"/>
    <x v="13"/>
    <n v="29600"/>
    <x v="201"/>
    <n v="0.1"/>
    <n v="213120"/>
    <x v="174"/>
    <n v="0.808191126279863"/>
  </r>
  <r>
    <n v="1213"/>
    <x v="10"/>
    <x v="3"/>
    <x v="2"/>
    <x v="5"/>
    <x v="2"/>
    <x v="12"/>
    <n v="18000"/>
    <x v="202"/>
    <n v="0.05"/>
    <n v="410400"/>
    <x v="175"/>
    <n v="0.82285714285714295"/>
  </r>
  <r>
    <n v="1214"/>
    <x v="10"/>
    <x v="3"/>
    <x v="2"/>
    <x v="5"/>
    <x v="3"/>
    <x v="22"/>
    <n v="24100"/>
    <x v="203"/>
    <n v="0.05"/>
    <n v="251845"/>
    <x v="81"/>
    <n v="0.85241157556270097"/>
  </r>
  <r>
    <n v="1215"/>
    <x v="10"/>
    <x v="3"/>
    <x v="2"/>
    <x v="5"/>
    <x v="4"/>
    <x v="27"/>
    <n v="4200"/>
    <x v="167"/>
    <n v="0"/>
    <n v="147000"/>
    <x v="78"/>
    <n v="1.1484375"/>
  </r>
  <r>
    <n v="1216"/>
    <x v="10"/>
    <x v="3"/>
    <x v="3"/>
    <x v="6"/>
    <x v="0"/>
    <x v="2"/>
    <n v="71100"/>
    <x v="204"/>
    <n v="0.1"/>
    <n v="575910"/>
    <x v="176"/>
    <n v="1.01732909379968"/>
  </r>
  <r>
    <n v="1217"/>
    <x v="10"/>
    <x v="3"/>
    <x v="3"/>
    <x v="7"/>
    <x v="1"/>
    <x v="5"/>
    <n v="30500"/>
    <x v="205"/>
    <n v="0"/>
    <n v="152500"/>
    <x v="177"/>
    <n v="0.97133757961783396"/>
  </r>
  <r>
    <n v="1218"/>
    <x v="10"/>
    <x v="3"/>
    <x v="3"/>
    <x v="7"/>
    <x v="2"/>
    <x v="16"/>
    <n v="19200"/>
    <x v="206"/>
    <n v="0.05"/>
    <n v="364800"/>
    <x v="178"/>
    <n v="1.17073170731707"/>
  </r>
  <r>
    <n v="1219"/>
    <x v="10"/>
    <x v="3"/>
    <x v="3"/>
    <x v="6"/>
    <x v="3"/>
    <x v="22"/>
    <n v="19900"/>
    <x v="207"/>
    <n v="0.1"/>
    <n v="197010"/>
    <x v="179"/>
    <n v="1.0374407582938401"/>
  </r>
  <r>
    <n v="1220"/>
    <x v="10"/>
    <x v="3"/>
    <x v="3"/>
    <x v="6"/>
    <x v="4"/>
    <x v="32"/>
    <n v="4100"/>
    <x v="208"/>
    <n v="0.05"/>
    <n v="116850"/>
    <x v="180"/>
    <n v="0.79870129870129902"/>
  </r>
  <r>
    <n v="1221"/>
    <x v="11"/>
    <x v="3"/>
    <x v="0"/>
    <x v="1"/>
    <x v="0"/>
    <x v="2"/>
    <n v="60000"/>
    <x v="209"/>
    <n v="0"/>
    <n v="540000"/>
    <x v="181"/>
    <n v="0.78602620087336195"/>
  </r>
  <r>
    <n v="1222"/>
    <x v="11"/>
    <x v="3"/>
    <x v="0"/>
    <x v="1"/>
    <x v="1"/>
    <x v="3"/>
    <n v="29500"/>
    <x v="210"/>
    <n v="0"/>
    <n v="354000"/>
    <x v="182"/>
    <n v="0.80454545454545501"/>
  </r>
  <r>
    <n v="1223"/>
    <x v="11"/>
    <x v="3"/>
    <x v="0"/>
    <x v="0"/>
    <x v="2"/>
    <x v="16"/>
    <n v="17800"/>
    <x v="211"/>
    <n v="0.15"/>
    <n v="302600"/>
    <x v="183"/>
    <n v="0.78414096916299603"/>
  </r>
  <r>
    <n v="1224"/>
    <x v="11"/>
    <x v="3"/>
    <x v="0"/>
    <x v="1"/>
    <x v="3"/>
    <x v="11"/>
    <n v="23100"/>
    <x v="212"/>
    <n v="0"/>
    <n v="300300"/>
    <x v="184"/>
    <n v="0.80509383378016097"/>
  </r>
  <r>
    <n v="1225"/>
    <x v="11"/>
    <x v="3"/>
    <x v="0"/>
    <x v="0"/>
    <x v="4"/>
    <x v="26"/>
    <n v="4500"/>
    <x v="55"/>
    <n v="0.05"/>
    <n v="153900"/>
    <x v="185"/>
    <n v="0.78640776699029102"/>
  </r>
  <r>
    <n v="1226"/>
    <x v="11"/>
    <x v="3"/>
    <x v="1"/>
    <x v="3"/>
    <x v="0"/>
    <x v="0"/>
    <n v="67500"/>
    <x v="213"/>
    <n v="0"/>
    <n v="202500"/>
    <x v="186"/>
    <n v="0.97826086956521696"/>
  </r>
  <r>
    <n v="1227"/>
    <x v="11"/>
    <x v="3"/>
    <x v="1"/>
    <x v="2"/>
    <x v="1"/>
    <x v="28"/>
    <n v="31100"/>
    <x v="214"/>
    <n v="0.15"/>
    <n v="475830"/>
    <x v="187"/>
    <n v="1.0159709618874799"/>
  </r>
  <r>
    <n v="1228"/>
    <x v="11"/>
    <x v="3"/>
    <x v="1"/>
    <x v="3"/>
    <x v="2"/>
    <x v="2"/>
    <n v="17600"/>
    <x v="67"/>
    <n v="0"/>
    <n v="158400"/>
    <x v="188"/>
    <n v="0.78029556650246301"/>
  </r>
  <r>
    <n v="1229"/>
    <x v="11"/>
    <x v="3"/>
    <x v="1"/>
    <x v="3"/>
    <x v="3"/>
    <x v="5"/>
    <n v="22700"/>
    <x v="215"/>
    <n v="0.15"/>
    <n v="96475"/>
    <x v="27"/>
    <n v="0.89370078740157499"/>
  </r>
  <r>
    <n v="1230"/>
    <x v="11"/>
    <x v="3"/>
    <x v="1"/>
    <x v="2"/>
    <x v="4"/>
    <x v="22"/>
    <n v="4800"/>
    <x v="216"/>
    <n v="0"/>
    <n v="52800"/>
    <x v="189"/>
    <n v="0.77647058823529402"/>
  </r>
  <r>
    <n v="1231"/>
    <x v="11"/>
    <x v="3"/>
    <x v="2"/>
    <x v="4"/>
    <x v="0"/>
    <x v="21"/>
    <n v="69300"/>
    <x v="217"/>
    <n v="0.1"/>
    <n v="249480"/>
    <x v="190"/>
    <n v="1.1088"/>
  </r>
  <r>
    <n v="1232"/>
    <x v="11"/>
    <x v="3"/>
    <x v="2"/>
    <x v="4"/>
    <x v="1"/>
    <x v="28"/>
    <n v="34400"/>
    <x v="218"/>
    <n v="0.05"/>
    <n v="588240"/>
    <x v="191"/>
    <n v="0.84244897959183696"/>
  </r>
  <r>
    <n v="1233"/>
    <x v="11"/>
    <x v="3"/>
    <x v="2"/>
    <x v="4"/>
    <x v="2"/>
    <x v="19"/>
    <n v="19300"/>
    <x v="219"/>
    <n v="0"/>
    <n v="308800"/>
    <x v="23"/>
    <n v="0.77200000000000002"/>
  </r>
  <r>
    <n v="1234"/>
    <x v="11"/>
    <x v="3"/>
    <x v="2"/>
    <x v="5"/>
    <x v="3"/>
    <x v="14"/>
    <n v="20300"/>
    <x v="220"/>
    <n v="0"/>
    <n v="121800"/>
    <x v="192"/>
    <n v="1.1599999999999999"/>
  </r>
  <r>
    <n v="1235"/>
    <x v="11"/>
    <x v="3"/>
    <x v="2"/>
    <x v="5"/>
    <x v="4"/>
    <x v="27"/>
    <n v="4800"/>
    <x v="61"/>
    <n v="0.1"/>
    <n v="151200"/>
    <x v="193"/>
    <n v="1.0370370370370401"/>
  </r>
  <r>
    <n v="1236"/>
    <x v="11"/>
    <x v="3"/>
    <x v="3"/>
    <x v="6"/>
    <x v="0"/>
    <x v="9"/>
    <n v="59200"/>
    <x v="221"/>
    <n v="0.15"/>
    <n v="352240"/>
    <x v="194"/>
    <n v="0.98902147971360399"/>
  </r>
  <r>
    <n v="1237"/>
    <x v="11"/>
    <x v="3"/>
    <x v="3"/>
    <x v="6"/>
    <x v="1"/>
    <x v="19"/>
    <n v="29200"/>
    <x v="222"/>
    <n v="0.05"/>
    <n v="443840"/>
    <x v="195"/>
    <n v="0.84028776978417297"/>
  </r>
  <r>
    <n v="1238"/>
    <x v="11"/>
    <x v="3"/>
    <x v="3"/>
    <x v="6"/>
    <x v="2"/>
    <x v="20"/>
    <n v="18000"/>
    <x v="223"/>
    <n v="0.1"/>
    <n v="356400"/>
    <x v="196"/>
    <n v="1.21846153846154"/>
  </r>
  <r>
    <n v="1239"/>
    <x v="11"/>
    <x v="3"/>
    <x v="3"/>
    <x v="7"/>
    <x v="3"/>
    <x v="22"/>
    <n v="22600"/>
    <x v="224"/>
    <n v="0"/>
    <n v="248600"/>
    <x v="185"/>
    <n v="1.20679611650485"/>
  </r>
  <r>
    <n v="1240"/>
    <x v="11"/>
    <x v="3"/>
    <x v="3"/>
    <x v="7"/>
    <x v="4"/>
    <x v="33"/>
    <n v="4400"/>
    <x v="225"/>
    <n v="0.15"/>
    <n v="138380"/>
    <x v="197"/>
    <n v="1.171223021582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FF0A68-3531-4DC0-BC42-88138C0D5D1F}"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egion   ">
  <location ref="E22:I27" firstHeaderRow="0" firstDataRow="1" firstDataCol="1"/>
  <pivotFields count="18">
    <pivotField showAll="0"/>
    <pivotField showAll="0">
      <items count="13">
        <item x="0"/>
        <item x="1"/>
        <item x="2"/>
        <item x="3"/>
        <item x="4"/>
        <item x="5"/>
        <item x="6"/>
        <item x="7"/>
        <item x="8"/>
        <item x="9"/>
        <item x="10"/>
        <item x="11"/>
        <item t="default"/>
      </items>
    </pivotField>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6">
        <item x="4"/>
        <item x="0"/>
        <item x="3"/>
        <item x="2"/>
        <item x="1"/>
        <item t="default"/>
      </items>
    </pivotField>
    <pivotField dataField="1"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dataField="1" numFmtId="164" showAll="0">
      <items count="227">
        <item x="92"/>
        <item x="194"/>
        <item x="216"/>
        <item x="180"/>
        <item x="121"/>
        <item x="143"/>
        <item x="43"/>
        <item x="111"/>
        <item x="126"/>
        <item x="148"/>
        <item x="4"/>
        <item x="139"/>
        <item x="87"/>
        <item x="158"/>
        <item x="47"/>
        <item x="102"/>
        <item x="96"/>
        <item x="179"/>
        <item x="82"/>
        <item x="77"/>
        <item x="66"/>
        <item x="129"/>
        <item x="28"/>
        <item x="189"/>
        <item x="14"/>
        <item x="33"/>
        <item x="56"/>
        <item x="215"/>
        <item x="142"/>
        <item x="138"/>
        <item x="9"/>
        <item x="134"/>
        <item x="220"/>
        <item x="208"/>
        <item x="176"/>
        <item x="17"/>
        <item x="162"/>
        <item x="52"/>
        <item x="97"/>
        <item x="62"/>
        <item x="42"/>
        <item x="2"/>
        <item x="167"/>
        <item x="79"/>
        <item x="107"/>
        <item x="193"/>
        <item x="153"/>
        <item x="18"/>
        <item x="205"/>
        <item x="199"/>
        <item x="124"/>
        <item x="64"/>
        <item x="57"/>
        <item x="23"/>
        <item x="147"/>
        <item x="67"/>
        <item x="115"/>
        <item x="91"/>
        <item x="81"/>
        <item x="38"/>
        <item x="55"/>
        <item x="225"/>
        <item x="72"/>
        <item x="32"/>
        <item x="61"/>
        <item x="163"/>
        <item x="183"/>
        <item x="116"/>
        <item x="101"/>
        <item x="50"/>
        <item x="168"/>
        <item x="161"/>
        <item x="63"/>
        <item x="78"/>
        <item x="41"/>
        <item x="68"/>
        <item x="155"/>
        <item x="140"/>
        <item x="46"/>
        <item x="71"/>
        <item x="136"/>
        <item x="8"/>
        <item x="213"/>
        <item x="152"/>
        <item x="0"/>
        <item x="60"/>
        <item x="44"/>
        <item x="95"/>
        <item x="76"/>
        <item x="178"/>
        <item x="186"/>
        <item x="174"/>
        <item x="171"/>
        <item x="187"/>
        <item x="207"/>
        <item x="31"/>
        <item x="20"/>
        <item x="157"/>
        <item x="70"/>
        <item x="172"/>
        <item x="99"/>
        <item x="110"/>
        <item x="201"/>
        <item x="137"/>
        <item x="65"/>
        <item x="36"/>
        <item x="34"/>
        <item x="3"/>
        <item x="224"/>
        <item x="37"/>
        <item x="119"/>
        <item x="12"/>
        <item x="51"/>
        <item x="188"/>
        <item x="175"/>
        <item x="203"/>
        <item x="105"/>
        <item x="160"/>
        <item x="83"/>
        <item x="217"/>
        <item x="181"/>
        <item x="106"/>
        <item x="200"/>
        <item x="170"/>
        <item x="198"/>
        <item x="128"/>
        <item x="11"/>
        <item x="192"/>
        <item x="27"/>
        <item x="86"/>
        <item x="151"/>
        <item x="13"/>
        <item x="120"/>
        <item x="150"/>
        <item x="212"/>
        <item x="113"/>
        <item x="184"/>
        <item x="100"/>
        <item x="48"/>
        <item x="90"/>
        <item x="219"/>
        <item x="169"/>
        <item x="133"/>
        <item x="84"/>
        <item x="40"/>
        <item x="22"/>
        <item x="197"/>
        <item x="117"/>
        <item x="19"/>
        <item x="54"/>
        <item x="182"/>
        <item x="75"/>
        <item x="109"/>
        <item x="125"/>
        <item x="5"/>
        <item x="73"/>
        <item x="104"/>
        <item x="7"/>
        <item x="21"/>
        <item x="210"/>
        <item x="29"/>
        <item x="211"/>
        <item x="144"/>
        <item x="146"/>
        <item x="114"/>
        <item x="94"/>
        <item x="103"/>
        <item x="141"/>
        <item x="206"/>
        <item x="80"/>
        <item x="131"/>
        <item x="85"/>
        <item x="45"/>
        <item x="223"/>
        <item x="118"/>
        <item x="123"/>
        <item x="221"/>
        <item x="166"/>
        <item x="132"/>
        <item x="35"/>
        <item x="53"/>
        <item x="191"/>
        <item x="202"/>
        <item x="156"/>
        <item x="25"/>
        <item x="164"/>
        <item x="26"/>
        <item x="69"/>
        <item x="159"/>
        <item x="222"/>
        <item x="190"/>
        <item x="112"/>
        <item x="49"/>
        <item x="10"/>
        <item x="1"/>
        <item x="59"/>
        <item x="30"/>
        <item x="165"/>
        <item x="173"/>
        <item x="16"/>
        <item x="6"/>
        <item x="209"/>
        <item x="135"/>
        <item x="145"/>
        <item x="127"/>
        <item x="185"/>
        <item x="15"/>
        <item x="214"/>
        <item x="177"/>
        <item x="74"/>
        <item x="24"/>
        <item x="89"/>
        <item x="108"/>
        <item x="218"/>
        <item x="196"/>
        <item x="93"/>
        <item x="204"/>
        <item x="88"/>
        <item x="130"/>
        <item x="149"/>
        <item x="39"/>
        <item x="58"/>
        <item x="154"/>
        <item x="122"/>
        <item x="98"/>
        <item x="195"/>
        <item t="default"/>
      </items>
    </pivotField>
    <pivotField numFmtId="9" showAll="0"/>
    <pivotField numFmtId="164" showAll="0"/>
    <pivotField dataField="1" numFmtId="164" showAll="0"/>
    <pivotField numFmtId="165"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v="1"/>
    </i>
    <i>
      <x v="2"/>
    </i>
    <i>
      <x/>
    </i>
    <i>
      <x v="3"/>
    </i>
    <i t="grand">
      <x/>
    </i>
  </rowItems>
  <colFields count="1">
    <field x="-2"/>
  </colFields>
  <colItems count="4">
    <i>
      <x/>
    </i>
    <i i="1">
      <x v="1"/>
    </i>
    <i i="2">
      <x v="2"/>
    </i>
    <i i="3">
      <x v="3"/>
    </i>
  </colItems>
  <dataFields count="4">
    <dataField name=" Revenue (₹)" fld="8" baseField="0" baseItem="0"/>
    <dataField name=" Target (₹)" fld="11" baseField="0" baseItem="0"/>
    <dataField name="      % Achieved        " fld="14" baseField="0" baseItem="0" numFmtId="164"/>
    <dataField name="    Units Sold" fld="6" baseField="0" baseItem="0"/>
  </dataFields>
  <formats count="24">
    <format dxfId="128">
      <pivotArea collapsedLevelsAreSubtotals="1" fieldPosition="0">
        <references count="2">
          <reference field="4294967294" count="1" selected="0">
            <x v="2"/>
          </reference>
          <reference field="3" count="0"/>
        </references>
      </pivotArea>
    </format>
    <format dxfId="127">
      <pivotArea field="3" grandRow="1" outline="0" collapsedLevelsAreSubtotals="1" axis="axisRow" fieldPosition="0">
        <references count="1">
          <reference field="4294967294" count="1" selected="0">
            <x v="2"/>
          </reference>
        </references>
      </pivotArea>
    </format>
    <format dxfId="126">
      <pivotArea outline="0" collapsedLevelsAreSubtotals="1" fieldPosition="0">
        <references count="1">
          <reference field="4294967294" count="1" selected="0">
            <x v="2"/>
          </reference>
        </references>
      </pivotArea>
    </format>
    <format dxfId="125">
      <pivotArea dataOnly="0" labelOnly="1" outline="0" fieldPosition="0">
        <references count="1">
          <reference field="4294967294" count="1">
            <x v="2"/>
          </reference>
        </references>
      </pivotArea>
    </format>
    <format dxfId="124">
      <pivotArea outline="0" collapsedLevelsAreSubtotals="1" fieldPosition="0">
        <references count="1">
          <reference field="4294967294" count="1" selected="0">
            <x v="2"/>
          </reference>
        </references>
      </pivotArea>
    </format>
    <format dxfId="123">
      <pivotArea dataOnly="0" labelOnly="1" outline="0" fieldPosition="0">
        <references count="1">
          <reference field="4294967294" count="1">
            <x v="2"/>
          </reference>
        </references>
      </pivotArea>
    </format>
    <format dxfId="122">
      <pivotArea outline="0" collapsedLevelsAreSubtotals="1" fieldPosition="0">
        <references count="1">
          <reference field="4294967294" count="1" selected="0">
            <x v="1"/>
          </reference>
        </references>
      </pivotArea>
    </format>
    <format dxfId="121">
      <pivotArea dataOnly="0" labelOnly="1" outline="0" fieldPosition="0">
        <references count="1">
          <reference field="4294967294" count="1">
            <x v="1"/>
          </reference>
        </references>
      </pivotArea>
    </format>
    <format dxfId="120">
      <pivotArea outline="0" collapsedLevelsAreSubtotals="1" fieldPosition="0">
        <references count="1">
          <reference field="4294967294" count="1" selected="0">
            <x v="1"/>
          </reference>
        </references>
      </pivotArea>
    </format>
    <format dxfId="119">
      <pivotArea dataOnly="0" labelOnly="1" outline="0" fieldPosition="0">
        <references count="1">
          <reference field="4294967294" count="1">
            <x v="1"/>
          </reference>
        </references>
      </pivotArea>
    </format>
    <format dxfId="118">
      <pivotArea outline="0" collapsedLevelsAreSubtotals="1" fieldPosition="0">
        <references count="1">
          <reference field="4294967294" count="1" selected="0">
            <x v="0"/>
          </reference>
        </references>
      </pivotArea>
    </format>
    <format dxfId="117">
      <pivotArea dataOnly="0" labelOnly="1" outline="0" fieldPosition="0">
        <references count="1">
          <reference field="4294967294" count="1">
            <x v="0"/>
          </reference>
        </references>
      </pivotArea>
    </format>
    <format dxfId="116">
      <pivotArea outline="0" collapsedLevelsAreSubtotals="1" fieldPosition="0">
        <references count="1">
          <reference field="4294967294" count="1" selected="0">
            <x v="0"/>
          </reference>
        </references>
      </pivotArea>
    </format>
    <format dxfId="115">
      <pivotArea dataOnly="0" labelOnly="1" outline="0" fieldPosition="0">
        <references count="1">
          <reference field="4294967294" count="1">
            <x v="0"/>
          </reference>
        </references>
      </pivotArea>
    </format>
    <format dxfId="114">
      <pivotArea outline="0" collapsedLevelsAreSubtotals="1" fieldPosition="0">
        <references count="1">
          <reference field="4294967294" count="1" selected="0">
            <x v="3"/>
          </reference>
        </references>
      </pivotArea>
    </format>
    <format dxfId="113">
      <pivotArea dataOnly="0" labelOnly="1" outline="0" fieldPosition="0">
        <references count="1">
          <reference field="4294967294" count="1">
            <x v="3"/>
          </reference>
        </references>
      </pivotArea>
    </format>
    <format dxfId="112">
      <pivotArea outline="0" collapsedLevelsAreSubtotals="1" fieldPosition="0">
        <references count="1">
          <reference field="4294967294" count="1" selected="0">
            <x v="3"/>
          </reference>
        </references>
      </pivotArea>
    </format>
    <format dxfId="111">
      <pivotArea dataOnly="0" labelOnly="1" outline="0" fieldPosition="0">
        <references count="1">
          <reference field="4294967294" count="1">
            <x v="3"/>
          </reference>
        </references>
      </pivotArea>
    </format>
    <format dxfId="110">
      <pivotArea field="3" type="button" dataOnly="0" labelOnly="1" outline="0" axis="axisRow" fieldPosition="0"/>
    </format>
    <format dxfId="109">
      <pivotArea dataOnly="0" labelOnly="1" fieldPosition="0">
        <references count="1">
          <reference field="3" count="0"/>
        </references>
      </pivotArea>
    </format>
    <format dxfId="108">
      <pivotArea dataOnly="0" labelOnly="1" grandRow="1" outline="0" fieldPosition="0"/>
    </format>
    <format dxfId="107">
      <pivotArea field="3" type="button" dataOnly="0" labelOnly="1" outline="0" axis="axisRow" fieldPosition="0"/>
    </format>
    <format dxfId="106">
      <pivotArea dataOnly="0" labelOnly="1" fieldPosition="0">
        <references count="1">
          <reference field="3" count="0"/>
        </references>
      </pivotArea>
    </format>
    <format dxfId="10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4ED5F9-2887-4408-A6A9-BD399A2CFAAD}"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Product  ">
  <location ref="E13:F19" firstHeaderRow="1" firstDataRow="1" firstDataCol="1"/>
  <pivotFields count="18">
    <pivotField showAll="0"/>
    <pivotField showAll="0">
      <items count="13">
        <item x="0"/>
        <item x="1"/>
        <item x="2"/>
        <item x="3"/>
        <item x="4"/>
        <item x="5"/>
        <item x="6"/>
        <item x="7"/>
        <item x="8"/>
        <item x="9"/>
        <item x="10"/>
        <item x="11"/>
        <item t="default"/>
      </items>
    </pivotField>
    <pivotField showAll="0"/>
    <pivotField showAll="0">
      <items count="5">
        <item x="2"/>
        <item x="0"/>
        <item x="1"/>
        <item x="3"/>
        <item t="default"/>
      </items>
    </pivotField>
    <pivotField showAll="0"/>
    <pivotField axis="axisRow" showAll="0" sortType="descending">
      <items count="6">
        <item x="4"/>
        <item x="0"/>
        <item x="3"/>
        <item x="2"/>
        <item x="1"/>
        <item t="default"/>
      </items>
      <autoSortScope>
        <pivotArea dataOnly="0" outline="0" fieldPosition="0">
          <references count="1">
            <reference field="4294967294" count="1" selected="0">
              <x v="0"/>
            </reference>
          </references>
        </pivotArea>
      </autoSortScope>
    </pivotField>
    <pivotField dataField="1"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numFmtId="164" showAll="0"/>
    <pivotField numFmtId="9" showAll="0"/>
    <pivotField numFmtId="164" showAll="0"/>
    <pivotField numFmtId="164" showAll="0"/>
    <pivotField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i>
    <i>
      <x v="3"/>
    </i>
    <i>
      <x v="4"/>
    </i>
    <i>
      <x v="2"/>
    </i>
    <i>
      <x v="1"/>
    </i>
    <i t="grand">
      <x/>
    </i>
  </rowItems>
  <colItems count="1">
    <i/>
  </colItems>
  <dataFields count="1">
    <dataField name="Total Units Sold" fld="6" baseField="0" baseItem="0"/>
  </dataFields>
  <chartFormats count="2">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0813DA-06F6-4AEF-9F93-5E1395AD43CC}"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12:C25" firstHeaderRow="0" firstDataRow="1" firstDataCol="1"/>
  <pivotFields count="18">
    <pivotField showAll="0"/>
    <pivotField axis="axisRow" showAll="0">
      <items count="13">
        <item x="0"/>
        <item x="1"/>
        <item x="2"/>
        <item x="3"/>
        <item x="4"/>
        <item x="5"/>
        <item x="6"/>
        <item x="7"/>
        <item x="8"/>
        <item x="9"/>
        <item x="10"/>
        <item x="11"/>
        <item t="default"/>
      </items>
    </pivotField>
    <pivotField showAll="0"/>
    <pivotField showAll="0">
      <items count="5">
        <item x="2"/>
        <item x="0"/>
        <item x="1"/>
        <item x="3"/>
        <item t="default"/>
      </items>
    </pivotField>
    <pivotField showAll="0"/>
    <pivotField showAll="0">
      <items count="6">
        <item x="4"/>
        <item x="0"/>
        <item x="3"/>
        <item x="2"/>
        <item x="1"/>
        <item t="default"/>
      </items>
    </pivotField>
    <pivotField showAll="0"/>
    <pivotField numFmtId="164" showAll="0"/>
    <pivotField dataField="1" numFmtId="164" showAll="0"/>
    <pivotField numFmtId="9" showAll="0"/>
    <pivotField numFmtId="164" showAll="0"/>
    <pivotField dataField="1" numFmtId="164" showAll="0"/>
    <pivotField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8" baseField="0" baseItem="0"/>
    <dataField name="Targetted Revenue" fld="11" baseField="0" baseItem="0"/>
  </dataFields>
  <chartFormats count="4">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894F1C-88E4-4803-998B-AD9E8AE79517}"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Product">
  <location ref="D3:E9" firstHeaderRow="1" firstDataRow="1" firstDataCol="1"/>
  <pivotFields count="18">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5">
        <item x="2"/>
        <item x="0"/>
        <item x="1"/>
        <item x="3"/>
        <item t="default"/>
      </items>
    </pivotField>
    <pivotField showAll="0">
      <items count="9">
        <item x="5"/>
        <item x="1"/>
        <item x="7"/>
        <item x="2"/>
        <item x="0"/>
        <item x="4"/>
        <item x="3"/>
        <item x="6"/>
        <item t="default"/>
      </items>
    </pivotField>
    <pivotField axis="axisRow" showAll="0">
      <items count="6">
        <item x="4"/>
        <item x="0"/>
        <item x="3"/>
        <item x="2"/>
        <item x="1"/>
        <item t="default"/>
      </items>
    </pivotField>
    <pivotField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dataField="1" numFmtId="164" showAll="0">
      <items count="227">
        <item x="92"/>
        <item x="194"/>
        <item x="216"/>
        <item x="180"/>
        <item x="121"/>
        <item x="143"/>
        <item x="43"/>
        <item x="111"/>
        <item x="126"/>
        <item x="148"/>
        <item x="4"/>
        <item x="139"/>
        <item x="87"/>
        <item x="158"/>
        <item x="47"/>
        <item x="102"/>
        <item x="96"/>
        <item x="179"/>
        <item x="82"/>
        <item x="77"/>
        <item x="66"/>
        <item x="129"/>
        <item x="28"/>
        <item x="189"/>
        <item x="14"/>
        <item x="33"/>
        <item x="56"/>
        <item x="215"/>
        <item x="142"/>
        <item x="138"/>
        <item x="9"/>
        <item x="134"/>
        <item x="220"/>
        <item x="208"/>
        <item x="176"/>
        <item x="17"/>
        <item x="162"/>
        <item x="52"/>
        <item x="97"/>
        <item x="62"/>
        <item x="42"/>
        <item x="2"/>
        <item x="167"/>
        <item x="79"/>
        <item x="107"/>
        <item x="193"/>
        <item x="153"/>
        <item x="18"/>
        <item x="205"/>
        <item x="199"/>
        <item x="124"/>
        <item x="64"/>
        <item x="57"/>
        <item x="23"/>
        <item x="147"/>
        <item x="67"/>
        <item x="115"/>
        <item x="91"/>
        <item x="81"/>
        <item x="38"/>
        <item x="55"/>
        <item x="225"/>
        <item x="72"/>
        <item x="32"/>
        <item x="61"/>
        <item x="163"/>
        <item x="183"/>
        <item x="116"/>
        <item x="101"/>
        <item x="50"/>
        <item x="168"/>
        <item x="161"/>
        <item x="63"/>
        <item x="78"/>
        <item x="41"/>
        <item x="68"/>
        <item x="155"/>
        <item x="140"/>
        <item x="46"/>
        <item x="71"/>
        <item x="136"/>
        <item x="8"/>
        <item x="213"/>
        <item x="152"/>
        <item x="0"/>
        <item x="60"/>
        <item x="44"/>
        <item x="95"/>
        <item x="76"/>
        <item x="178"/>
        <item x="186"/>
        <item x="174"/>
        <item x="171"/>
        <item x="187"/>
        <item x="207"/>
        <item x="31"/>
        <item x="20"/>
        <item x="157"/>
        <item x="70"/>
        <item x="172"/>
        <item x="99"/>
        <item x="110"/>
        <item x="201"/>
        <item x="137"/>
        <item x="65"/>
        <item x="36"/>
        <item x="34"/>
        <item x="3"/>
        <item x="224"/>
        <item x="37"/>
        <item x="119"/>
        <item x="12"/>
        <item x="51"/>
        <item x="188"/>
        <item x="175"/>
        <item x="203"/>
        <item x="105"/>
        <item x="160"/>
        <item x="83"/>
        <item x="217"/>
        <item x="181"/>
        <item x="106"/>
        <item x="200"/>
        <item x="170"/>
        <item x="198"/>
        <item x="128"/>
        <item x="11"/>
        <item x="192"/>
        <item x="27"/>
        <item x="86"/>
        <item x="151"/>
        <item x="13"/>
        <item x="120"/>
        <item x="150"/>
        <item x="212"/>
        <item x="113"/>
        <item x="184"/>
        <item x="100"/>
        <item x="48"/>
        <item x="90"/>
        <item x="219"/>
        <item x="169"/>
        <item x="133"/>
        <item x="84"/>
        <item x="40"/>
        <item x="22"/>
        <item x="197"/>
        <item x="117"/>
        <item x="19"/>
        <item x="54"/>
        <item x="182"/>
        <item x="75"/>
        <item x="109"/>
        <item x="125"/>
        <item x="5"/>
        <item x="73"/>
        <item x="104"/>
        <item x="7"/>
        <item x="21"/>
        <item x="210"/>
        <item x="29"/>
        <item x="211"/>
        <item x="144"/>
        <item x="146"/>
        <item x="114"/>
        <item x="94"/>
        <item x="103"/>
        <item x="141"/>
        <item x="206"/>
        <item x="80"/>
        <item x="131"/>
        <item x="85"/>
        <item x="45"/>
        <item x="223"/>
        <item x="118"/>
        <item x="123"/>
        <item x="221"/>
        <item x="166"/>
        <item x="132"/>
        <item x="35"/>
        <item x="53"/>
        <item x="191"/>
        <item x="202"/>
        <item x="156"/>
        <item x="25"/>
        <item x="164"/>
        <item x="26"/>
        <item x="69"/>
        <item x="159"/>
        <item x="222"/>
        <item x="190"/>
        <item x="112"/>
        <item x="49"/>
        <item x="10"/>
        <item x="1"/>
        <item x="59"/>
        <item x="30"/>
        <item x="165"/>
        <item x="173"/>
        <item x="16"/>
        <item x="6"/>
        <item x="209"/>
        <item x="135"/>
        <item x="145"/>
        <item x="127"/>
        <item x="185"/>
        <item x="15"/>
        <item x="214"/>
        <item x="177"/>
        <item x="74"/>
        <item x="24"/>
        <item x="89"/>
        <item x="108"/>
        <item x="218"/>
        <item x="196"/>
        <item x="93"/>
        <item x="204"/>
        <item x="88"/>
        <item x="130"/>
        <item x="149"/>
        <item x="39"/>
        <item x="58"/>
        <item x="154"/>
        <item x="122"/>
        <item x="98"/>
        <item x="195"/>
        <item t="default"/>
      </items>
    </pivotField>
    <pivotField numFmtId="9" showAll="0"/>
    <pivotField numFmtId="164" showAll="0"/>
    <pivotField numFmtId="164" showAll="0">
      <items count="199">
        <item x="84"/>
        <item x="168"/>
        <item x="107"/>
        <item x="157"/>
        <item x="97"/>
        <item x="130"/>
        <item x="110"/>
        <item x="122"/>
        <item x="189"/>
        <item x="90"/>
        <item x="125"/>
        <item x="41"/>
        <item x="139"/>
        <item x="4"/>
        <item x="114"/>
        <item x="9"/>
        <item x="153"/>
        <item x="54"/>
        <item x="192"/>
        <item x="32"/>
        <item x="121"/>
        <item x="46"/>
        <item x="74"/>
        <item x="156"/>
        <item x="79"/>
        <item x="14"/>
        <item x="124"/>
        <item x="64"/>
        <item x="27"/>
        <item x="78"/>
        <item x="165"/>
        <item x="101"/>
        <item x="109"/>
        <item x="2"/>
        <item x="65"/>
        <item x="197"/>
        <item x="76"/>
        <item x="146"/>
        <item x="18"/>
        <item x="60"/>
        <item x="173"/>
        <item x="19"/>
        <item x="55"/>
        <item x="180"/>
        <item x="177"/>
        <item x="117"/>
        <item x="75"/>
        <item x="193"/>
        <item x="89"/>
        <item x="119"/>
        <item x="62"/>
        <item x="142"/>
        <item x="40"/>
        <item x="37"/>
        <item x="129"/>
        <item x="155"/>
        <item x="43"/>
        <item x="45"/>
        <item x="0"/>
        <item x="102"/>
        <item x="31"/>
        <item x="123"/>
        <item x="59"/>
        <item x="30"/>
        <item x="69"/>
        <item x="188"/>
        <item x="149"/>
        <item x="185"/>
        <item x="186"/>
        <item x="151"/>
        <item x="53"/>
        <item x="179"/>
        <item x="138"/>
        <item x="159"/>
        <item x="49"/>
        <item x="61"/>
        <item x="136"/>
        <item x="120"/>
        <item x="134"/>
        <item x="162"/>
        <item x="21"/>
        <item x="66"/>
        <item x="33"/>
        <item x="164"/>
        <item x="88"/>
        <item x="58"/>
        <item x="8"/>
        <item x="190"/>
        <item x="11"/>
        <item x="36"/>
        <item x="50"/>
        <item x="163"/>
        <item x="73"/>
        <item x="141"/>
        <item x="105"/>
        <item x="99"/>
        <item x="63"/>
        <item x="3"/>
        <item x="68"/>
        <item x="148"/>
        <item x="174"/>
        <item x="106"/>
        <item x="72"/>
        <item x="128"/>
        <item x="35"/>
        <item x="52"/>
        <item x="100"/>
        <item x="81"/>
        <item x="113"/>
        <item x="5"/>
        <item x="172"/>
        <item x="133"/>
        <item x="17"/>
        <item x="196"/>
        <item x="178"/>
        <item x="12"/>
        <item x="77"/>
        <item x="147"/>
        <item x="93"/>
        <item x="80"/>
        <item x="152"/>
        <item x="70"/>
        <item x="13"/>
        <item x="103"/>
        <item x="167"/>
        <item x="104"/>
        <item x="94"/>
        <item x="92"/>
        <item x="160"/>
        <item x="171"/>
        <item x="26"/>
        <item x="137"/>
        <item x="132"/>
        <item x="184"/>
        <item x="22"/>
        <item x="20"/>
        <item x="96"/>
        <item x="39"/>
        <item x="47"/>
        <item x="166"/>
        <item x="126"/>
        <item x="116"/>
        <item x="23"/>
        <item x="158"/>
        <item x="7"/>
        <item x="51"/>
        <item x="194"/>
        <item x="1"/>
        <item x="86"/>
        <item x="16"/>
        <item x="91"/>
        <item x="182"/>
        <item x="154"/>
        <item x="67"/>
        <item x="28"/>
        <item x="183"/>
        <item x="145"/>
        <item x="98"/>
        <item x="140"/>
        <item x="34"/>
        <item x="44"/>
        <item x="150"/>
        <item x="15"/>
        <item x="112"/>
        <item x="118"/>
        <item x="144"/>
        <item x="83"/>
        <item x="6"/>
        <item x="175"/>
        <item x="48"/>
        <item x="161"/>
        <item x="143"/>
        <item x="115"/>
        <item x="25"/>
        <item x="187"/>
        <item x="195"/>
        <item x="82"/>
        <item x="38"/>
        <item x="42"/>
        <item x="10"/>
        <item x="176"/>
        <item x="131"/>
        <item x="95"/>
        <item x="57"/>
        <item x="29"/>
        <item x="56"/>
        <item x="127"/>
        <item x="181"/>
        <item x="71"/>
        <item x="85"/>
        <item x="111"/>
        <item x="24"/>
        <item x="191"/>
        <item x="170"/>
        <item x="87"/>
        <item x="108"/>
        <item x="135"/>
        <item x="169"/>
        <item t="default"/>
      </items>
    </pivotField>
    <pivotField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i>
    <i>
      <x v="1"/>
    </i>
    <i>
      <x v="2"/>
    </i>
    <i>
      <x v="3"/>
    </i>
    <i>
      <x v="4"/>
    </i>
    <i t="grand">
      <x/>
    </i>
  </rowItems>
  <colItems count="1">
    <i/>
  </colItems>
  <dataFields count="1">
    <dataField name="Total Revenue (₹)  " fld="8" showDataAs="percentOfTotal" baseField="5" baseItem="0" numFmtId="10"/>
  </dataFields>
  <chartFormats count="1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5" count="1" selected="0">
            <x v="0"/>
          </reference>
        </references>
      </pivotArea>
    </chartFormat>
    <chartFormat chart="8" format="9">
      <pivotArea type="data" outline="0" fieldPosition="0">
        <references count="2">
          <reference field="4294967294" count="1" selected="0">
            <x v="0"/>
          </reference>
          <reference field="5" count="1" selected="0">
            <x v="1"/>
          </reference>
        </references>
      </pivotArea>
    </chartFormat>
    <chartFormat chart="8" format="10">
      <pivotArea type="data" outline="0" fieldPosition="0">
        <references count="2">
          <reference field="4294967294" count="1" selected="0">
            <x v="0"/>
          </reference>
          <reference field="5" count="1" selected="0">
            <x v="2"/>
          </reference>
        </references>
      </pivotArea>
    </chartFormat>
    <chartFormat chart="8" format="11">
      <pivotArea type="data" outline="0" fieldPosition="0">
        <references count="2">
          <reference field="4294967294" count="1" selected="0">
            <x v="0"/>
          </reference>
          <reference field="5" count="1" selected="0">
            <x v="3"/>
          </reference>
        </references>
      </pivotArea>
    </chartFormat>
    <chartFormat chart="8" format="12">
      <pivotArea type="data" outline="0" fieldPosition="0">
        <references count="2">
          <reference field="4294967294" count="1" selected="0">
            <x v="0"/>
          </reference>
          <reference field="5"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5" count="1" selected="0">
            <x v="0"/>
          </reference>
        </references>
      </pivotArea>
    </chartFormat>
    <chartFormat chart="10" format="21">
      <pivotArea type="data" outline="0" fieldPosition="0">
        <references count="2">
          <reference field="4294967294" count="1" selected="0">
            <x v="0"/>
          </reference>
          <reference field="5" count="1" selected="0">
            <x v="1"/>
          </reference>
        </references>
      </pivotArea>
    </chartFormat>
    <chartFormat chart="10" format="22">
      <pivotArea type="data" outline="0" fieldPosition="0">
        <references count="2">
          <reference field="4294967294" count="1" selected="0">
            <x v="0"/>
          </reference>
          <reference field="5" count="1" selected="0">
            <x v="2"/>
          </reference>
        </references>
      </pivotArea>
    </chartFormat>
    <chartFormat chart="10" format="23">
      <pivotArea type="data" outline="0" fieldPosition="0">
        <references count="2">
          <reference field="4294967294" count="1" selected="0">
            <x v="0"/>
          </reference>
          <reference field="5" count="1" selected="0">
            <x v="3"/>
          </reference>
        </references>
      </pivotArea>
    </chartFormat>
    <chartFormat chart="10" format="24">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172CD9-803A-4B5A-B6CF-1C260910F338}"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Region">
  <location ref="A3:B8" firstHeaderRow="1" firstDataRow="1" firstDataCol="1"/>
  <pivotFields count="18">
    <pivotField showAll="0"/>
    <pivotField showAll="0">
      <items count="13">
        <item x="0"/>
        <item x="1"/>
        <item x="2"/>
        <item x="3"/>
        <item x="4"/>
        <item x="5"/>
        <item x="6"/>
        <item x="7"/>
        <item x="8"/>
        <item x="9"/>
        <item x="10"/>
        <item x="11"/>
        <item t="default"/>
      </items>
    </pivotField>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6">
        <item x="4"/>
        <item x="0"/>
        <item x="3"/>
        <item x="2"/>
        <item x="1"/>
        <item t="default"/>
      </items>
    </pivotField>
    <pivotField showAll="0"/>
    <pivotField numFmtId="164" showAll="0"/>
    <pivotField dataField="1" numFmtId="164" showAll="0"/>
    <pivotField numFmtId="9" showAll="0"/>
    <pivotField numFmtId="164" showAll="0"/>
    <pivotField numFmtId="164" showAll="0"/>
    <pivotField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v="1"/>
    </i>
    <i>
      <x v="2"/>
    </i>
    <i>
      <x/>
    </i>
    <i>
      <x v="3"/>
    </i>
    <i t="grand">
      <x/>
    </i>
  </rowItems>
  <colItems count="1">
    <i/>
  </colItems>
  <dataFields count="1">
    <dataField name="Total Revenue (₹)" fld="8" baseField="0" baseItem="0"/>
  </dataFields>
  <chartFormats count="5">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2"/>
          </reference>
        </references>
      </pivotArea>
    </chartFormat>
    <chartFormat chart="4" format="5" series="1">
      <pivotArea type="data" outline="0" fieldPosition="0">
        <references count="2">
          <reference field="4294967294" count="1" selected="0">
            <x v="0"/>
          </reference>
          <reference field="3" count="1" selected="0">
            <x v="3"/>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626133-A66F-4451-8545-2969AA17A205}" name="PivotTable11" cacheId="0" applyNumberFormats="0" applyBorderFormats="0" applyFontFormats="0" applyPatternFormats="0" applyAlignmentFormats="0" applyWidthHeightFormats="1" dataCaption="Values" grandTotalCaption="Total" updatedVersion="6" minRefreshableVersion="3" useAutoFormatting="1" itemPrintTitles="1" createdVersion="6" indent="0" outline="1" outlineData="1" multipleFieldFilters="0" chartFormat="5" rowHeaderCaption="Region   ">
  <location ref="G20:K25" firstHeaderRow="0" firstDataRow="1" firstDataCol="1"/>
  <pivotFields count="18">
    <pivotField showAll="0"/>
    <pivotField showAll="0">
      <items count="13">
        <item x="0"/>
        <item x="1"/>
        <item x="2"/>
        <item x="3"/>
        <item x="4"/>
        <item x="5"/>
        <item x="6"/>
        <item x="7"/>
        <item x="8"/>
        <item x="9"/>
        <item x="10"/>
        <item x="11"/>
        <item t="default"/>
      </items>
    </pivotField>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6">
        <item x="4"/>
        <item x="0"/>
        <item x="3"/>
        <item x="2"/>
        <item x="1"/>
        <item t="default"/>
      </items>
    </pivotField>
    <pivotField dataField="1"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dataField="1" numFmtId="164" showAll="0">
      <items count="227">
        <item x="92"/>
        <item x="194"/>
        <item x="216"/>
        <item x="180"/>
        <item x="121"/>
        <item x="143"/>
        <item x="43"/>
        <item x="111"/>
        <item x="126"/>
        <item x="148"/>
        <item x="4"/>
        <item x="139"/>
        <item x="87"/>
        <item x="158"/>
        <item x="47"/>
        <item x="102"/>
        <item x="96"/>
        <item x="179"/>
        <item x="82"/>
        <item x="77"/>
        <item x="66"/>
        <item x="129"/>
        <item x="28"/>
        <item x="189"/>
        <item x="14"/>
        <item x="33"/>
        <item x="56"/>
        <item x="215"/>
        <item x="142"/>
        <item x="138"/>
        <item x="9"/>
        <item x="134"/>
        <item x="220"/>
        <item x="208"/>
        <item x="176"/>
        <item x="17"/>
        <item x="162"/>
        <item x="52"/>
        <item x="97"/>
        <item x="62"/>
        <item x="42"/>
        <item x="2"/>
        <item x="167"/>
        <item x="79"/>
        <item x="107"/>
        <item x="193"/>
        <item x="153"/>
        <item x="18"/>
        <item x="205"/>
        <item x="199"/>
        <item x="124"/>
        <item x="64"/>
        <item x="57"/>
        <item x="23"/>
        <item x="147"/>
        <item x="67"/>
        <item x="115"/>
        <item x="91"/>
        <item x="81"/>
        <item x="38"/>
        <item x="55"/>
        <item x="225"/>
        <item x="72"/>
        <item x="32"/>
        <item x="61"/>
        <item x="163"/>
        <item x="183"/>
        <item x="116"/>
        <item x="101"/>
        <item x="50"/>
        <item x="168"/>
        <item x="161"/>
        <item x="63"/>
        <item x="78"/>
        <item x="41"/>
        <item x="68"/>
        <item x="155"/>
        <item x="140"/>
        <item x="46"/>
        <item x="71"/>
        <item x="136"/>
        <item x="8"/>
        <item x="213"/>
        <item x="152"/>
        <item x="0"/>
        <item x="60"/>
        <item x="44"/>
        <item x="95"/>
        <item x="76"/>
        <item x="178"/>
        <item x="186"/>
        <item x="174"/>
        <item x="171"/>
        <item x="187"/>
        <item x="207"/>
        <item x="31"/>
        <item x="20"/>
        <item x="157"/>
        <item x="70"/>
        <item x="172"/>
        <item x="99"/>
        <item x="110"/>
        <item x="201"/>
        <item x="137"/>
        <item x="65"/>
        <item x="36"/>
        <item x="34"/>
        <item x="3"/>
        <item x="224"/>
        <item x="37"/>
        <item x="119"/>
        <item x="12"/>
        <item x="51"/>
        <item x="188"/>
        <item x="175"/>
        <item x="203"/>
        <item x="105"/>
        <item x="160"/>
        <item x="83"/>
        <item x="217"/>
        <item x="181"/>
        <item x="106"/>
        <item x="200"/>
        <item x="170"/>
        <item x="198"/>
        <item x="128"/>
        <item x="11"/>
        <item x="192"/>
        <item x="27"/>
        <item x="86"/>
        <item x="151"/>
        <item x="13"/>
        <item x="120"/>
        <item x="150"/>
        <item x="212"/>
        <item x="113"/>
        <item x="184"/>
        <item x="100"/>
        <item x="48"/>
        <item x="90"/>
        <item x="219"/>
        <item x="169"/>
        <item x="133"/>
        <item x="84"/>
        <item x="40"/>
        <item x="22"/>
        <item x="197"/>
        <item x="117"/>
        <item x="19"/>
        <item x="54"/>
        <item x="182"/>
        <item x="75"/>
        <item x="109"/>
        <item x="125"/>
        <item x="5"/>
        <item x="73"/>
        <item x="104"/>
        <item x="7"/>
        <item x="21"/>
        <item x="210"/>
        <item x="29"/>
        <item x="211"/>
        <item x="144"/>
        <item x="146"/>
        <item x="114"/>
        <item x="94"/>
        <item x="103"/>
        <item x="141"/>
        <item x="206"/>
        <item x="80"/>
        <item x="131"/>
        <item x="85"/>
        <item x="45"/>
        <item x="223"/>
        <item x="118"/>
        <item x="123"/>
        <item x="221"/>
        <item x="166"/>
        <item x="132"/>
        <item x="35"/>
        <item x="53"/>
        <item x="191"/>
        <item x="202"/>
        <item x="156"/>
        <item x="25"/>
        <item x="164"/>
        <item x="26"/>
        <item x="69"/>
        <item x="159"/>
        <item x="222"/>
        <item x="190"/>
        <item x="112"/>
        <item x="49"/>
        <item x="10"/>
        <item x="1"/>
        <item x="59"/>
        <item x="30"/>
        <item x="165"/>
        <item x="173"/>
        <item x="16"/>
        <item x="6"/>
        <item x="209"/>
        <item x="135"/>
        <item x="145"/>
        <item x="127"/>
        <item x="185"/>
        <item x="15"/>
        <item x="214"/>
        <item x="177"/>
        <item x="74"/>
        <item x="24"/>
        <item x="89"/>
        <item x="108"/>
        <item x="218"/>
        <item x="196"/>
        <item x="93"/>
        <item x="204"/>
        <item x="88"/>
        <item x="130"/>
        <item x="149"/>
        <item x="39"/>
        <item x="58"/>
        <item x="154"/>
        <item x="122"/>
        <item x="98"/>
        <item x="195"/>
        <item t="default"/>
      </items>
    </pivotField>
    <pivotField numFmtId="9" showAll="0"/>
    <pivotField numFmtId="164" showAll="0"/>
    <pivotField dataField="1" numFmtId="164" showAll="0"/>
    <pivotField numFmtId="165"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v="1"/>
    </i>
    <i>
      <x v="2"/>
    </i>
    <i>
      <x/>
    </i>
    <i>
      <x v="3"/>
    </i>
    <i t="grand">
      <x/>
    </i>
  </rowItems>
  <colFields count="1">
    <field x="-2"/>
  </colFields>
  <colItems count="4">
    <i>
      <x/>
    </i>
    <i i="1">
      <x v="1"/>
    </i>
    <i i="2">
      <x v="2"/>
    </i>
    <i i="3">
      <x v="3"/>
    </i>
  </colItems>
  <dataFields count="4">
    <dataField name=" Revenue (₹)" fld="8" baseField="0" baseItem="0"/>
    <dataField name=" Target (₹)" fld="11" baseField="0" baseItem="0"/>
    <dataField name="      % Achieved        " fld="14" baseField="0" baseItem="0" numFmtId="164"/>
    <dataField name="    Units Sold" fld="6" baseField="0" baseItem="0"/>
  </dataFields>
  <formats count="36">
    <format dxfId="104">
      <pivotArea collapsedLevelsAreSubtotals="1" fieldPosition="0">
        <references count="2">
          <reference field="4294967294" count="1" selected="0">
            <x v="2"/>
          </reference>
          <reference field="3" count="0"/>
        </references>
      </pivotArea>
    </format>
    <format dxfId="103">
      <pivotArea field="3" grandRow="1" outline="0" collapsedLevelsAreSubtotals="1" axis="axisRow" fieldPosition="0">
        <references count="1">
          <reference field="4294967294" count="1" selected="0">
            <x v="2"/>
          </reference>
        </references>
      </pivotArea>
    </format>
    <format dxfId="102">
      <pivotArea outline="0" collapsedLevelsAreSubtotals="1" fieldPosition="0">
        <references count="1">
          <reference field="4294967294" count="1" selected="0">
            <x v="2"/>
          </reference>
        </references>
      </pivotArea>
    </format>
    <format dxfId="101">
      <pivotArea dataOnly="0" labelOnly="1" outline="0" fieldPosition="0">
        <references count="1">
          <reference field="4294967294" count="1">
            <x v="2"/>
          </reference>
        </references>
      </pivotArea>
    </format>
    <format dxfId="100">
      <pivotArea outline="0" collapsedLevelsAreSubtotals="1" fieldPosition="0">
        <references count="1">
          <reference field="4294967294" count="1" selected="0">
            <x v="2"/>
          </reference>
        </references>
      </pivotArea>
    </format>
    <format dxfId="99">
      <pivotArea dataOnly="0" labelOnly="1" outline="0" fieldPosition="0">
        <references count="1">
          <reference field="4294967294" count="1">
            <x v="2"/>
          </reference>
        </references>
      </pivotArea>
    </format>
    <format dxfId="98">
      <pivotArea outline="0" collapsedLevelsAreSubtotals="1" fieldPosition="0">
        <references count="1">
          <reference field="4294967294" count="1" selected="0">
            <x v="1"/>
          </reference>
        </references>
      </pivotArea>
    </format>
    <format dxfId="97">
      <pivotArea dataOnly="0" labelOnly="1" outline="0" fieldPosition="0">
        <references count="1">
          <reference field="4294967294" count="1">
            <x v="1"/>
          </reference>
        </references>
      </pivotArea>
    </format>
    <format dxfId="96">
      <pivotArea outline="0" collapsedLevelsAreSubtotals="1" fieldPosition="0">
        <references count="1">
          <reference field="4294967294" count="1" selected="0">
            <x v="1"/>
          </reference>
        </references>
      </pivotArea>
    </format>
    <format dxfId="95">
      <pivotArea dataOnly="0" labelOnly="1" outline="0" fieldPosition="0">
        <references count="1">
          <reference field="4294967294" count="1">
            <x v="1"/>
          </reference>
        </references>
      </pivotArea>
    </format>
    <format dxfId="94">
      <pivotArea outline="0" collapsedLevelsAreSubtotals="1" fieldPosition="0">
        <references count="1">
          <reference field="4294967294" count="1" selected="0">
            <x v="0"/>
          </reference>
        </references>
      </pivotArea>
    </format>
    <format dxfId="93">
      <pivotArea dataOnly="0" labelOnly="1" outline="0" fieldPosition="0">
        <references count="1">
          <reference field="4294967294" count="1">
            <x v="0"/>
          </reference>
        </references>
      </pivotArea>
    </format>
    <format dxfId="92">
      <pivotArea outline="0" collapsedLevelsAreSubtotals="1" fieldPosition="0">
        <references count="1">
          <reference field="4294967294" count="1" selected="0">
            <x v="0"/>
          </reference>
        </references>
      </pivotArea>
    </format>
    <format dxfId="91">
      <pivotArea dataOnly="0" labelOnly="1" outline="0" fieldPosition="0">
        <references count="1">
          <reference field="4294967294" count="1">
            <x v="0"/>
          </reference>
        </references>
      </pivotArea>
    </format>
    <format dxfId="90">
      <pivotArea outline="0" collapsedLevelsAreSubtotals="1" fieldPosition="0">
        <references count="1">
          <reference field="4294967294" count="1" selected="0">
            <x v="3"/>
          </reference>
        </references>
      </pivotArea>
    </format>
    <format dxfId="89">
      <pivotArea dataOnly="0" labelOnly="1" outline="0" fieldPosition="0">
        <references count="1">
          <reference field="4294967294" count="1">
            <x v="3"/>
          </reference>
        </references>
      </pivotArea>
    </format>
    <format dxfId="88">
      <pivotArea outline="0" collapsedLevelsAreSubtotals="1" fieldPosition="0">
        <references count="1">
          <reference field="4294967294" count="1" selected="0">
            <x v="3"/>
          </reference>
        </references>
      </pivotArea>
    </format>
    <format dxfId="87">
      <pivotArea dataOnly="0" labelOnly="1" outline="0" fieldPosition="0">
        <references count="1">
          <reference field="4294967294" count="1">
            <x v="3"/>
          </reference>
        </references>
      </pivotArea>
    </format>
    <format dxfId="86">
      <pivotArea field="3" type="button" dataOnly="0" labelOnly="1" outline="0" axis="axisRow" fieldPosition="0"/>
    </format>
    <format dxfId="85">
      <pivotArea dataOnly="0" labelOnly="1" fieldPosition="0">
        <references count="1">
          <reference field="3" count="0"/>
        </references>
      </pivotArea>
    </format>
    <format dxfId="84">
      <pivotArea dataOnly="0" labelOnly="1" grandRow="1" outline="0" fieldPosition="0"/>
    </format>
    <format dxfId="83">
      <pivotArea field="3" type="button" dataOnly="0" labelOnly="1" outline="0" axis="axisRow" fieldPosition="0"/>
    </format>
    <format dxfId="82">
      <pivotArea dataOnly="0" labelOnly="1" fieldPosition="0">
        <references count="1">
          <reference field="3" count="0"/>
        </references>
      </pivotArea>
    </format>
    <format dxfId="81">
      <pivotArea dataOnly="0" labelOnly="1" grandRow="1" outline="0" fieldPosition="0"/>
    </format>
    <format dxfId="80">
      <pivotArea type="all" dataOnly="0" outline="0" fieldPosition="0"/>
    </format>
    <format dxfId="79">
      <pivotArea outline="0" collapsedLevelsAreSubtotals="1" fieldPosition="0"/>
    </format>
    <format dxfId="78">
      <pivotArea field="3" type="button" dataOnly="0" labelOnly="1" outline="0" axis="axisRow" fieldPosition="0"/>
    </format>
    <format dxfId="77">
      <pivotArea dataOnly="0" labelOnly="1" fieldPosition="0">
        <references count="1">
          <reference field="3" count="0"/>
        </references>
      </pivotArea>
    </format>
    <format dxfId="76">
      <pivotArea dataOnly="0" labelOnly="1" grandRow="1" outline="0" fieldPosition="0"/>
    </format>
    <format dxfId="75">
      <pivotArea dataOnly="0" labelOnly="1" outline="0" fieldPosition="0">
        <references count="1">
          <reference field="4294967294" count="4">
            <x v="0"/>
            <x v="1"/>
            <x v="2"/>
            <x v="3"/>
          </reference>
        </references>
      </pivotArea>
    </format>
    <format dxfId="74">
      <pivotArea type="all" dataOnly="0" outline="0" fieldPosition="0"/>
    </format>
    <format dxfId="73">
      <pivotArea outline="0" collapsedLevelsAreSubtotals="1" fieldPosition="0"/>
    </format>
    <format dxfId="72">
      <pivotArea field="3" type="button" dataOnly="0" labelOnly="1" outline="0" axis="axisRow" fieldPosition="0"/>
    </format>
    <format dxfId="71">
      <pivotArea dataOnly="0" labelOnly="1" fieldPosition="0">
        <references count="1">
          <reference field="3" count="0"/>
        </references>
      </pivotArea>
    </format>
    <format dxfId="70">
      <pivotArea dataOnly="0" labelOnly="1" grandRow="1" outline="0" fieldPosition="0"/>
    </format>
    <format dxfId="6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4516BD-33EF-4E8F-BBE6-75B49E7EF17A}"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egion">
  <location ref="A1:F14" firstHeaderRow="0" firstDataRow="1" firstDataCol="1"/>
  <pivotFields count="18">
    <pivotField showAll="0"/>
    <pivotField axis="axisRow" showAll="0">
      <items count="13">
        <item x="0"/>
        <item x="1"/>
        <item x="2"/>
        <item x="3"/>
        <item x="4"/>
        <item x="5"/>
        <item x="6"/>
        <item x="7"/>
        <item x="8"/>
        <item x="9"/>
        <item x="10"/>
        <item x="11"/>
        <item t="default"/>
      </items>
    </pivotField>
    <pivotField showAll="0"/>
    <pivotField showAll="0">
      <items count="5">
        <item x="2"/>
        <item x="0"/>
        <item x="1"/>
        <item x="3"/>
        <item t="default"/>
      </items>
    </pivotField>
    <pivotField showAll="0"/>
    <pivotField showAll="0" rankBy="0">
      <items count="6">
        <item x="4"/>
        <item x="0"/>
        <item x="3"/>
        <item x="2"/>
        <item x="1"/>
        <item t="default"/>
      </items>
    </pivotField>
    <pivotField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dataField="1" numFmtId="164" showAll="0">
      <items count="227">
        <item x="92"/>
        <item x="194"/>
        <item x="216"/>
        <item x="180"/>
        <item x="121"/>
        <item x="143"/>
        <item x="43"/>
        <item x="111"/>
        <item x="126"/>
        <item x="148"/>
        <item x="4"/>
        <item x="139"/>
        <item x="87"/>
        <item x="158"/>
        <item x="47"/>
        <item x="102"/>
        <item x="96"/>
        <item x="179"/>
        <item x="82"/>
        <item x="77"/>
        <item x="66"/>
        <item x="129"/>
        <item x="28"/>
        <item x="189"/>
        <item x="14"/>
        <item x="33"/>
        <item x="56"/>
        <item x="215"/>
        <item x="142"/>
        <item x="138"/>
        <item x="9"/>
        <item x="134"/>
        <item x="220"/>
        <item x="208"/>
        <item x="176"/>
        <item x="17"/>
        <item x="162"/>
        <item x="52"/>
        <item x="97"/>
        <item x="62"/>
        <item x="42"/>
        <item x="2"/>
        <item x="167"/>
        <item x="79"/>
        <item x="107"/>
        <item x="193"/>
        <item x="153"/>
        <item x="18"/>
        <item x="205"/>
        <item x="199"/>
        <item x="124"/>
        <item x="64"/>
        <item x="57"/>
        <item x="23"/>
        <item x="147"/>
        <item x="67"/>
        <item x="115"/>
        <item x="91"/>
        <item x="81"/>
        <item x="38"/>
        <item x="55"/>
        <item x="225"/>
        <item x="72"/>
        <item x="32"/>
        <item x="61"/>
        <item x="163"/>
        <item x="183"/>
        <item x="116"/>
        <item x="101"/>
        <item x="50"/>
        <item x="168"/>
        <item x="161"/>
        <item x="63"/>
        <item x="78"/>
        <item x="41"/>
        <item x="68"/>
        <item x="155"/>
        <item x="140"/>
        <item x="46"/>
        <item x="71"/>
        <item x="136"/>
        <item x="8"/>
        <item x="213"/>
        <item x="152"/>
        <item x="0"/>
        <item x="60"/>
        <item x="44"/>
        <item x="95"/>
        <item x="76"/>
        <item x="178"/>
        <item x="186"/>
        <item x="174"/>
        <item x="171"/>
        <item x="187"/>
        <item x="207"/>
        <item x="31"/>
        <item x="20"/>
        <item x="157"/>
        <item x="70"/>
        <item x="172"/>
        <item x="99"/>
        <item x="110"/>
        <item x="201"/>
        <item x="137"/>
        <item x="65"/>
        <item x="36"/>
        <item x="34"/>
        <item x="3"/>
        <item x="224"/>
        <item x="37"/>
        <item x="119"/>
        <item x="12"/>
        <item x="51"/>
        <item x="188"/>
        <item x="175"/>
        <item x="203"/>
        <item x="105"/>
        <item x="160"/>
        <item x="83"/>
        <item x="217"/>
        <item x="181"/>
        <item x="106"/>
        <item x="200"/>
        <item x="170"/>
        <item x="198"/>
        <item x="128"/>
        <item x="11"/>
        <item x="192"/>
        <item x="27"/>
        <item x="86"/>
        <item x="151"/>
        <item x="13"/>
        <item x="120"/>
        <item x="150"/>
        <item x="212"/>
        <item x="113"/>
        <item x="184"/>
        <item x="100"/>
        <item x="48"/>
        <item x="90"/>
        <item x="219"/>
        <item x="169"/>
        <item x="133"/>
        <item x="84"/>
        <item x="40"/>
        <item x="22"/>
        <item x="197"/>
        <item x="117"/>
        <item x="19"/>
        <item x="54"/>
        <item x="182"/>
        <item x="75"/>
        <item x="109"/>
        <item x="125"/>
        <item x="5"/>
        <item x="73"/>
        <item x="104"/>
        <item x="7"/>
        <item x="21"/>
        <item x="210"/>
        <item x="29"/>
        <item x="211"/>
        <item x="144"/>
        <item x="146"/>
        <item x="114"/>
        <item x="94"/>
        <item x="103"/>
        <item x="141"/>
        <item x="206"/>
        <item x="80"/>
        <item x="131"/>
        <item x="85"/>
        <item x="45"/>
        <item x="223"/>
        <item x="118"/>
        <item x="123"/>
        <item x="221"/>
        <item x="166"/>
        <item x="132"/>
        <item x="35"/>
        <item x="53"/>
        <item x="191"/>
        <item x="202"/>
        <item x="156"/>
        <item x="25"/>
        <item x="164"/>
        <item x="26"/>
        <item x="69"/>
        <item x="159"/>
        <item x="222"/>
        <item x="190"/>
        <item x="112"/>
        <item x="49"/>
        <item x="10"/>
        <item x="1"/>
        <item x="59"/>
        <item x="30"/>
        <item x="165"/>
        <item x="173"/>
        <item x="16"/>
        <item x="6"/>
        <item x="209"/>
        <item x="135"/>
        <item x="145"/>
        <item x="127"/>
        <item x="185"/>
        <item x="15"/>
        <item x="214"/>
        <item x="177"/>
        <item x="74"/>
        <item x="24"/>
        <item x="89"/>
        <item x="108"/>
        <item x="218"/>
        <item x="196"/>
        <item x="93"/>
        <item x="204"/>
        <item x="88"/>
        <item x="130"/>
        <item x="149"/>
        <item x="39"/>
        <item x="58"/>
        <item x="154"/>
        <item x="122"/>
        <item x="98"/>
        <item x="195"/>
        <item t="default"/>
      </items>
    </pivotField>
    <pivotField numFmtId="9" showAll="0"/>
    <pivotField numFmtId="164" showAll="0"/>
    <pivotField dataField="1" numFmtId="164" showAll="0"/>
    <pivotField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1"/>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Sum of Revenue (₹)" fld="8" baseField="0" baseItem="0" numFmtId="167"/>
    <dataField name="Sum of Target (₹)" fld="11" baseField="0" baseItem="0" numFmtId="167"/>
    <dataField name="Sum of  Achieved (%)" fld="17" baseField="0" baseItem="0" numFmtId="10"/>
    <dataField name="Sum of Revenue (₹)2" fld="8" showDataAs="percentDiff" baseField="1" baseItem="1048828" numFmtId="10"/>
    <dataField name="Sum of Revenue (₹)3" fld="8" showDataAs="runTotal" baseField="1" baseItem="0"/>
  </dataFields>
  <formats count="5">
    <format dxfId="68">
      <pivotArea outline="0" collapsedLevelsAreSubtotals="1" fieldPosition="0">
        <references count="1">
          <reference field="4294967294" count="1" selected="0">
            <x v="0"/>
          </reference>
        </references>
      </pivotArea>
    </format>
    <format dxfId="67">
      <pivotArea outline="0" collapsedLevelsAreSubtotals="1" fieldPosition="0">
        <references count="1">
          <reference field="4294967294" count="1" selected="0">
            <x v="2"/>
          </reference>
        </references>
      </pivotArea>
    </format>
    <format dxfId="66">
      <pivotArea outline="0" collapsedLevelsAreSubtotals="1" fieldPosition="0">
        <references count="1">
          <reference field="4294967294" count="1" selected="0">
            <x v="1"/>
          </reference>
        </references>
      </pivotArea>
    </format>
    <format dxfId="65">
      <pivotArea outline="0" fieldPosition="0">
        <references count="1">
          <reference field="4294967294" count="1">
            <x v="3"/>
          </reference>
        </references>
      </pivotArea>
    </format>
    <format dxfId="64">
      <pivotArea collapsedLevelsAreSubtotals="1" fieldPosition="0">
        <references count="2">
          <reference field="4294967294" count="1" selected="0">
            <x v="4"/>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5DFE19-A785-4EDC-94BB-26D67346CFFC}" name="PivotTable15" cacheId="0" applyNumberFormats="0" applyBorderFormats="0" applyFontFormats="0" applyPatternFormats="0" applyAlignmentFormats="0" applyWidthHeightFormats="1" dataCaption="Values" grandTotalCaption="Total" updatedVersion="6" minRefreshableVersion="3" useAutoFormatting="1" itemPrintTitles="1" createdVersion="6" indent="0" outline="1" outlineData="1" multipleFieldFilters="0" chartFormat="5" rowHeaderCaption="Month">
  <location ref="G3:L16" firstHeaderRow="0" firstDataRow="1" firstDataCol="1"/>
  <pivotFields count="18">
    <pivotField showAll="0"/>
    <pivotField axis="axisRow" showAll="0">
      <items count="13">
        <item x="0"/>
        <item x="1"/>
        <item x="2"/>
        <item x="3"/>
        <item x="4"/>
        <item x="5"/>
        <item x="6"/>
        <item x="7"/>
        <item x="8"/>
        <item x="9"/>
        <item x="10"/>
        <item x="11"/>
        <item t="default"/>
      </items>
    </pivotField>
    <pivotField showAll="0"/>
    <pivotField showAll="0">
      <items count="5">
        <item x="2"/>
        <item x="0"/>
        <item x="1"/>
        <item x="3"/>
        <item t="default"/>
      </items>
    </pivotField>
    <pivotField showAll="0"/>
    <pivotField showAll="0" rankBy="0">
      <items count="6">
        <item x="4"/>
        <item x="0"/>
        <item x="3"/>
        <item x="2"/>
        <item x="1"/>
        <item t="default"/>
      </items>
    </pivotField>
    <pivotField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dataField="1" numFmtId="164" showAll="0">
      <items count="227">
        <item x="92"/>
        <item x="194"/>
        <item x="216"/>
        <item x="180"/>
        <item x="121"/>
        <item x="143"/>
        <item x="43"/>
        <item x="111"/>
        <item x="126"/>
        <item x="148"/>
        <item x="4"/>
        <item x="139"/>
        <item x="87"/>
        <item x="158"/>
        <item x="47"/>
        <item x="102"/>
        <item x="96"/>
        <item x="179"/>
        <item x="82"/>
        <item x="77"/>
        <item x="66"/>
        <item x="129"/>
        <item x="28"/>
        <item x="189"/>
        <item x="14"/>
        <item x="33"/>
        <item x="56"/>
        <item x="215"/>
        <item x="142"/>
        <item x="138"/>
        <item x="9"/>
        <item x="134"/>
        <item x="220"/>
        <item x="208"/>
        <item x="176"/>
        <item x="17"/>
        <item x="162"/>
        <item x="52"/>
        <item x="97"/>
        <item x="62"/>
        <item x="42"/>
        <item x="2"/>
        <item x="167"/>
        <item x="79"/>
        <item x="107"/>
        <item x="193"/>
        <item x="153"/>
        <item x="18"/>
        <item x="205"/>
        <item x="199"/>
        <item x="124"/>
        <item x="64"/>
        <item x="57"/>
        <item x="23"/>
        <item x="147"/>
        <item x="67"/>
        <item x="115"/>
        <item x="91"/>
        <item x="81"/>
        <item x="38"/>
        <item x="55"/>
        <item x="225"/>
        <item x="72"/>
        <item x="32"/>
        <item x="61"/>
        <item x="163"/>
        <item x="183"/>
        <item x="116"/>
        <item x="101"/>
        <item x="50"/>
        <item x="168"/>
        <item x="161"/>
        <item x="63"/>
        <item x="78"/>
        <item x="41"/>
        <item x="68"/>
        <item x="155"/>
        <item x="140"/>
        <item x="46"/>
        <item x="71"/>
        <item x="136"/>
        <item x="8"/>
        <item x="213"/>
        <item x="152"/>
        <item x="0"/>
        <item x="60"/>
        <item x="44"/>
        <item x="95"/>
        <item x="76"/>
        <item x="178"/>
        <item x="186"/>
        <item x="174"/>
        <item x="171"/>
        <item x="187"/>
        <item x="207"/>
        <item x="31"/>
        <item x="20"/>
        <item x="157"/>
        <item x="70"/>
        <item x="172"/>
        <item x="99"/>
        <item x="110"/>
        <item x="201"/>
        <item x="137"/>
        <item x="65"/>
        <item x="36"/>
        <item x="34"/>
        <item x="3"/>
        <item x="224"/>
        <item x="37"/>
        <item x="119"/>
        <item x="12"/>
        <item x="51"/>
        <item x="188"/>
        <item x="175"/>
        <item x="203"/>
        <item x="105"/>
        <item x="160"/>
        <item x="83"/>
        <item x="217"/>
        <item x="181"/>
        <item x="106"/>
        <item x="200"/>
        <item x="170"/>
        <item x="198"/>
        <item x="128"/>
        <item x="11"/>
        <item x="192"/>
        <item x="27"/>
        <item x="86"/>
        <item x="151"/>
        <item x="13"/>
        <item x="120"/>
        <item x="150"/>
        <item x="212"/>
        <item x="113"/>
        <item x="184"/>
        <item x="100"/>
        <item x="48"/>
        <item x="90"/>
        <item x="219"/>
        <item x="169"/>
        <item x="133"/>
        <item x="84"/>
        <item x="40"/>
        <item x="22"/>
        <item x="197"/>
        <item x="117"/>
        <item x="19"/>
        <item x="54"/>
        <item x="182"/>
        <item x="75"/>
        <item x="109"/>
        <item x="125"/>
        <item x="5"/>
        <item x="73"/>
        <item x="104"/>
        <item x="7"/>
        <item x="21"/>
        <item x="210"/>
        <item x="29"/>
        <item x="211"/>
        <item x="144"/>
        <item x="146"/>
        <item x="114"/>
        <item x="94"/>
        <item x="103"/>
        <item x="141"/>
        <item x="206"/>
        <item x="80"/>
        <item x="131"/>
        <item x="85"/>
        <item x="45"/>
        <item x="223"/>
        <item x="118"/>
        <item x="123"/>
        <item x="221"/>
        <item x="166"/>
        <item x="132"/>
        <item x="35"/>
        <item x="53"/>
        <item x="191"/>
        <item x="202"/>
        <item x="156"/>
        <item x="25"/>
        <item x="164"/>
        <item x="26"/>
        <item x="69"/>
        <item x="159"/>
        <item x="222"/>
        <item x="190"/>
        <item x="112"/>
        <item x="49"/>
        <item x="10"/>
        <item x="1"/>
        <item x="59"/>
        <item x="30"/>
        <item x="165"/>
        <item x="173"/>
        <item x="16"/>
        <item x="6"/>
        <item x="209"/>
        <item x="135"/>
        <item x="145"/>
        <item x="127"/>
        <item x="185"/>
        <item x="15"/>
        <item x="214"/>
        <item x="177"/>
        <item x="74"/>
        <item x="24"/>
        <item x="89"/>
        <item x="108"/>
        <item x="218"/>
        <item x="196"/>
        <item x="93"/>
        <item x="204"/>
        <item x="88"/>
        <item x="130"/>
        <item x="149"/>
        <item x="39"/>
        <item x="58"/>
        <item x="154"/>
        <item x="122"/>
        <item x="98"/>
        <item x="195"/>
        <item t="default"/>
      </items>
    </pivotField>
    <pivotField numFmtId="9" showAll="0"/>
    <pivotField numFmtId="164" showAll="0"/>
    <pivotField dataField="1" numFmtId="164" showAll="0"/>
    <pivotField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1"/>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 Revenue (₹)" fld="8" baseField="0" baseItem="0" numFmtId="167"/>
    <dataField name="Target (₹)  " fld="11" baseField="0" baseItem="0" numFmtId="167"/>
    <dataField name=" Achieved (%) " fld="17" baseField="0" baseItem="0" numFmtId="10"/>
    <dataField name="MoM Growth(%)" fld="8" showDataAs="percentDiff" baseField="1" baseItem="1048828" numFmtId="10"/>
    <dataField name="Cumulative" fld="8" showDataAs="runTotal" baseField="1" baseItem="0"/>
  </dataFields>
  <formats count="23">
    <format dxfId="22">
      <pivotArea outline="0" collapsedLevelsAreSubtotals="1" fieldPosition="0">
        <references count="1">
          <reference field="4294967294" count="1" selected="0">
            <x v="0"/>
          </reference>
        </references>
      </pivotArea>
    </format>
    <format dxfId="21">
      <pivotArea outline="0" collapsedLevelsAreSubtotals="1" fieldPosition="0">
        <references count="1">
          <reference field="4294967294" count="1" selected="0">
            <x v="2"/>
          </reference>
        </references>
      </pivotArea>
    </format>
    <format dxfId="20">
      <pivotArea outline="0" collapsedLevelsAreSubtotals="1" fieldPosition="0">
        <references count="1">
          <reference field="4294967294" count="1" selected="0">
            <x v="1"/>
          </reference>
        </references>
      </pivotArea>
    </format>
    <format dxfId="19">
      <pivotArea outline="0" fieldPosition="0">
        <references count="1">
          <reference field="4294967294" count="1">
            <x v="3"/>
          </reference>
        </references>
      </pivotArea>
    </format>
    <format dxfId="18">
      <pivotArea collapsedLevelsAreSubtotals="1" fieldPosition="0">
        <references count="2">
          <reference field="4294967294" count="1" selected="0">
            <x v="4"/>
          </reference>
          <reference field="1" count="0"/>
        </references>
      </pivotArea>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5">
            <x v="0"/>
            <x v="1"/>
            <x v="2"/>
            <x v="3"/>
            <x v="4"/>
          </reference>
        </references>
      </pivotArea>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fieldPosition="0">
        <references count="1">
          <reference field="4294967294" count="5">
            <x v="0"/>
            <x v="1"/>
            <x v="2"/>
            <x v="3"/>
            <x v="4"/>
          </reference>
        </references>
      </pivotArea>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CE38A7-1CAC-47CF-8599-C5C9B2D7FD64}"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Product">
  <location ref="A12:D18" firstHeaderRow="0" firstDataRow="1" firstDataCol="1"/>
  <pivotFields count="18">
    <pivotField showAll="0"/>
    <pivotField showAll="0">
      <items count="13">
        <item x="0"/>
        <item x="1"/>
        <item x="2"/>
        <item x="3"/>
        <item x="4"/>
        <item x="5"/>
        <item x="6"/>
        <item x="7"/>
        <item x="8"/>
        <item x="9"/>
        <item x="10"/>
        <item x="11"/>
        <item t="default"/>
      </items>
    </pivotField>
    <pivotField showAll="0"/>
    <pivotField showAll="0">
      <items count="5">
        <item x="2"/>
        <item x="0"/>
        <item x="1"/>
        <item x="3"/>
        <item t="default"/>
      </items>
    </pivotField>
    <pivotField showAll="0"/>
    <pivotField axis="axisRow" showAll="0" sortType="ascending">
      <items count="6">
        <item x="4"/>
        <item x="0"/>
        <item x="3"/>
        <item x="2"/>
        <item x="1"/>
        <item t="default"/>
      </items>
      <autoSortScope>
        <pivotArea dataOnly="0" outline="0" fieldPosition="0">
          <references count="1">
            <reference field="4294967294" count="1" selected="0">
              <x v="0"/>
            </reference>
          </references>
        </pivotArea>
      </autoSortScope>
    </pivotField>
    <pivotField dataField="1"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dataField="1" numFmtId="164" showAll="0">
      <items count="227">
        <item x="92"/>
        <item x="194"/>
        <item x="216"/>
        <item x="180"/>
        <item x="121"/>
        <item x="143"/>
        <item x="43"/>
        <item x="111"/>
        <item x="126"/>
        <item x="148"/>
        <item x="4"/>
        <item x="139"/>
        <item x="87"/>
        <item x="158"/>
        <item x="47"/>
        <item x="102"/>
        <item x="96"/>
        <item x="179"/>
        <item x="82"/>
        <item x="77"/>
        <item x="66"/>
        <item x="129"/>
        <item x="28"/>
        <item x="189"/>
        <item x="14"/>
        <item x="33"/>
        <item x="56"/>
        <item x="215"/>
        <item x="142"/>
        <item x="138"/>
        <item x="9"/>
        <item x="134"/>
        <item x="220"/>
        <item x="208"/>
        <item x="176"/>
        <item x="17"/>
        <item x="162"/>
        <item x="52"/>
        <item x="97"/>
        <item x="62"/>
        <item x="42"/>
        <item x="2"/>
        <item x="167"/>
        <item x="79"/>
        <item x="107"/>
        <item x="193"/>
        <item x="153"/>
        <item x="18"/>
        <item x="205"/>
        <item x="199"/>
        <item x="124"/>
        <item x="64"/>
        <item x="57"/>
        <item x="23"/>
        <item x="147"/>
        <item x="67"/>
        <item x="115"/>
        <item x="91"/>
        <item x="81"/>
        <item x="38"/>
        <item x="55"/>
        <item x="225"/>
        <item x="72"/>
        <item x="32"/>
        <item x="61"/>
        <item x="163"/>
        <item x="183"/>
        <item x="116"/>
        <item x="101"/>
        <item x="50"/>
        <item x="168"/>
        <item x="161"/>
        <item x="63"/>
        <item x="78"/>
        <item x="41"/>
        <item x="68"/>
        <item x="155"/>
        <item x="140"/>
        <item x="46"/>
        <item x="71"/>
        <item x="136"/>
        <item x="8"/>
        <item x="213"/>
        <item x="152"/>
        <item x="0"/>
        <item x="60"/>
        <item x="44"/>
        <item x="95"/>
        <item x="76"/>
        <item x="178"/>
        <item x="186"/>
        <item x="174"/>
        <item x="171"/>
        <item x="187"/>
        <item x="207"/>
        <item x="31"/>
        <item x="20"/>
        <item x="157"/>
        <item x="70"/>
        <item x="172"/>
        <item x="99"/>
        <item x="110"/>
        <item x="201"/>
        <item x="137"/>
        <item x="65"/>
        <item x="36"/>
        <item x="34"/>
        <item x="3"/>
        <item x="224"/>
        <item x="37"/>
        <item x="119"/>
        <item x="12"/>
        <item x="51"/>
        <item x="188"/>
        <item x="175"/>
        <item x="203"/>
        <item x="105"/>
        <item x="160"/>
        <item x="83"/>
        <item x="217"/>
        <item x="181"/>
        <item x="106"/>
        <item x="200"/>
        <item x="170"/>
        <item x="198"/>
        <item x="128"/>
        <item x="11"/>
        <item x="192"/>
        <item x="27"/>
        <item x="86"/>
        <item x="151"/>
        <item x="13"/>
        <item x="120"/>
        <item x="150"/>
        <item x="212"/>
        <item x="113"/>
        <item x="184"/>
        <item x="100"/>
        <item x="48"/>
        <item x="90"/>
        <item x="219"/>
        <item x="169"/>
        <item x="133"/>
        <item x="84"/>
        <item x="40"/>
        <item x="22"/>
        <item x="197"/>
        <item x="117"/>
        <item x="19"/>
        <item x="54"/>
        <item x="182"/>
        <item x="75"/>
        <item x="109"/>
        <item x="125"/>
        <item x="5"/>
        <item x="73"/>
        <item x="104"/>
        <item x="7"/>
        <item x="21"/>
        <item x="210"/>
        <item x="29"/>
        <item x="211"/>
        <item x="144"/>
        <item x="146"/>
        <item x="114"/>
        <item x="94"/>
        <item x="103"/>
        <item x="141"/>
        <item x="206"/>
        <item x="80"/>
        <item x="131"/>
        <item x="85"/>
        <item x="45"/>
        <item x="223"/>
        <item x="118"/>
        <item x="123"/>
        <item x="221"/>
        <item x="166"/>
        <item x="132"/>
        <item x="35"/>
        <item x="53"/>
        <item x="191"/>
        <item x="202"/>
        <item x="156"/>
        <item x="25"/>
        <item x="164"/>
        <item x="26"/>
        <item x="69"/>
        <item x="159"/>
        <item x="222"/>
        <item x="190"/>
        <item x="112"/>
        <item x="49"/>
        <item x="10"/>
        <item x="1"/>
        <item x="59"/>
        <item x="30"/>
        <item x="165"/>
        <item x="173"/>
        <item x="16"/>
        <item x="6"/>
        <item x="209"/>
        <item x="135"/>
        <item x="145"/>
        <item x="127"/>
        <item x="185"/>
        <item x="15"/>
        <item x="214"/>
        <item x="177"/>
        <item x="74"/>
        <item x="24"/>
        <item x="89"/>
        <item x="108"/>
        <item x="218"/>
        <item x="196"/>
        <item x="93"/>
        <item x="204"/>
        <item x="88"/>
        <item x="130"/>
        <item x="149"/>
        <item x="39"/>
        <item x="58"/>
        <item x="154"/>
        <item x="122"/>
        <item x="98"/>
        <item x="195"/>
        <item t="default"/>
      </items>
    </pivotField>
    <pivotField numFmtId="9" showAll="0"/>
    <pivotField numFmtId="164" showAll="0"/>
    <pivotField numFmtId="164" showAll="0"/>
    <pivotField numFmtId="165"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i>
    <i>
      <x v="2"/>
    </i>
    <i>
      <x v="3"/>
    </i>
    <i>
      <x v="4"/>
    </i>
    <i>
      <x v="1"/>
    </i>
    <i t="grand">
      <x/>
    </i>
  </rowItems>
  <colFields count="1">
    <field x="-2"/>
  </colFields>
  <colItems count="3">
    <i>
      <x/>
    </i>
    <i i="1">
      <x v="1"/>
    </i>
    <i i="2">
      <x v="2"/>
    </i>
  </colItems>
  <dataFields count="3">
    <dataField name="Total Revenue (₹)  " fld="8" baseField="0" baseItem="0" numFmtId="167"/>
    <dataField name="Units Sold  " fld="6" baseField="0" baseItem="0"/>
    <dataField name="% of Revenue" fld="8" showDataAs="percentOfTotal" baseField="5" baseItem="0" numFmtId="10"/>
  </dataFields>
  <formats count="20">
    <format dxfId="42">
      <pivotArea outline="0" collapsedLevelsAreSubtotals="1" fieldPosition="0">
        <references count="1">
          <reference field="4294967294" count="1" selected="0">
            <x v="0"/>
          </reference>
        </references>
      </pivotArea>
    </format>
    <format dxfId="41">
      <pivotArea outline="0" fieldPosition="0">
        <references count="1">
          <reference field="4294967294" count="1">
            <x v="2"/>
          </reference>
        </references>
      </pivotArea>
    </format>
    <format dxfId="40">
      <pivotArea type="all" dataOnly="0" outline="0" fieldPosition="0"/>
    </format>
    <format dxfId="39">
      <pivotArea outline="0" collapsedLevelsAreSubtotals="1" fieldPosition="0"/>
    </format>
    <format dxfId="38">
      <pivotArea field="5" type="button" dataOnly="0" labelOnly="1" outline="0" axis="axisRow" fieldPosition="0"/>
    </format>
    <format dxfId="37">
      <pivotArea dataOnly="0" labelOnly="1" fieldPosition="0">
        <references count="1">
          <reference field="5" count="0"/>
        </references>
      </pivotArea>
    </format>
    <format dxfId="36">
      <pivotArea dataOnly="0" labelOnly="1" grandRow="1" outline="0" fieldPosition="0"/>
    </format>
    <format dxfId="35">
      <pivotArea dataOnly="0" labelOnly="1" outline="0" fieldPosition="0">
        <references count="1">
          <reference field="4294967294" count="3">
            <x v="0"/>
            <x v="1"/>
            <x v="2"/>
          </reference>
        </references>
      </pivotArea>
    </format>
    <format dxfId="34">
      <pivotArea type="all" dataOnly="0" outline="0" fieldPosition="0"/>
    </format>
    <format dxfId="33">
      <pivotArea outline="0" collapsedLevelsAreSubtotals="1" fieldPosition="0"/>
    </format>
    <format dxfId="32">
      <pivotArea field="5" type="button" dataOnly="0" labelOnly="1" outline="0" axis="axisRow" fieldPosition="0"/>
    </format>
    <format dxfId="31">
      <pivotArea dataOnly="0" labelOnly="1" fieldPosition="0">
        <references count="1">
          <reference field="5" count="0"/>
        </references>
      </pivotArea>
    </format>
    <format dxfId="30">
      <pivotArea dataOnly="0" labelOnly="1" grandRow="1" outline="0" fieldPosition="0"/>
    </format>
    <format dxfId="29">
      <pivotArea dataOnly="0" labelOnly="1" outline="0" fieldPosition="0">
        <references count="1">
          <reference field="4294967294" count="3">
            <x v="0"/>
            <x v="1"/>
            <x v="2"/>
          </reference>
        </references>
      </pivotArea>
    </format>
    <format dxfId="28">
      <pivotArea type="all" dataOnly="0" outline="0" fieldPosition="0"/>
    </format>
    <format dxfId="27">
      <pivotArea outline="0" collapsedLevelsAreSubtotals="1" fieldPosition="0"/>
    </format>
    <format dxfId="26">
      <pivotArea field="5" type="button" dataOnly="0" labelOnly="1" outline="0" axis="axisRow" fieldPosition="0"/>
    </format>
    <format dxfId="25">
      <pivotArea dataOnly="0" labelOnly="1" fieldPosition="0">
        <references count="1">
          <reference field="5" count="0"/>
        </references>
      </pivotArea>
    </format>
    <format dxfId="24">
      <pivotArea dataOnly="0" labelOnly="1" grandRow="1" outline="0" fieldPosition="0"/>
    </format>
    <format dxfId="2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69306E-167A-4445-9090-365415FEA76C}"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egion">
  <location ref="A3:D8" firstHeaderRow="0" firstDataRow="1" firstDataCol="1"/>
  <pivotFields count="18">
    <pivotField showAll="0"/>
    <pivotField showAll="0">
      <items count="13">
        <item x="0"/>
        <item x="1"/>
        <item x="2"/>
        <item x="3"/>
        <item x="4"/>
        <item x="5"/>
        <item x="6"/>
        <item x="7"/>
        <item x="8"/>
        <item x="9"/>
        <item x="10"/>
        <item x="11"/>
        <item t="default"/>
      </items>
    </pivotField>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6">
        <item x="4"/>
        <item x="0"/>
        <item x="3"/>
        <item x="2"/>
        <item x="1"/>
        <item t="default"/>
      </items>
    </pivotField>
    <pivotField dataField="1" showAll="0">
      <items count="35">
        <item x="0"/>
        <item x="21"/>
        <item x="5"/>
        <item x="14"/>
        <item x="9"/>
        <item x="13"/>
        <item x="2"/>
        <item x="7"/>
        <item x="22"/>
        <item x="3"/>
        <item x="11"/>
        <item x="10"/>
        <item x="1"/>
        <item x="19"/>
        <item x="4"/>
        <item x="28"/>
        <item x="6"/>
        <item x="16"/>
        <item x="29"/>
        <item x="20"/>
        <item x="23"/>
        <item x="12"/>
        <item x="18"/>
        <item x="31"/>
        <item x="8"/>
        <item x="32"/>
        <item x="25"/>
        <item x="15"/>
        <item x="17"/>
        <item x="27"/>
        <item x="26"/>
        <item x="33"/>
        <item x="24"/>
        <item x="30"/>
        <item t="default"/>
      </items>
    </pivotField>
    <pivotField numFmtId="164" showAll="0"/>
    <pivotField dataField="1" numFmtId="164" showAll="0">
      <items count="227">
        <item x="92"/>
        <item x="194"/>
        <item x="216"/>
        <item x="180"/>
        <item x="121"/>
        <item x="143"/>
        <item x="43"/>
        <item x="111"/>
        <item x="126"/>
        <item x="148"/>
        <item x="4"/>
        <item x="139"/>
        <item x="87"/>
        <item x="158"/>
        <item x="47"/>
        <item x="102"/>
        <item x="96"/>
        <item x="179"/>
        <item x="82"/>
        <item x="77"/>
        <item x="66"/>
        <item x="129"/>
        <item x="28"/>
        <item x="189"/>
        <item x="14"/>
        <item x="33"/>
        <item x="56"/>
        <item x="215"/>
        <item x="142"/>
        <item x="138"/>
        <item x="9"/>
        <item x="134"/>
        <item x="220"/>
        <item x="208"/>
        <item x="176"/>
        <item x="17"/>
        <item x="162"/>
        <item x="52"/>
        <item x="97"/>
        <item x="62"/>
        <item x="42"/>
        <item x="2"/>
        <item x="167"/>
        <item x="79"/>
        <item x="107"/>
        <item x="193"/>
        <item x="153"/>
        <item x="18"/>
        <item x="205"/>
        <item x="199"/>
        <item x="124"/>
        <item x="64"/>
        <item x="57"/>
        <item x="23"/>
        <item x="147"/>
        <item x="67"/>
        <item x="115"/>
        <item x="91"/>
        <item x="81"/>
        <item x="38"/>
        <item x="55"/>
        <item x="225"/>
        <item x="72"/>
        <item x="32"/>
        <item x="61"/>
        <item x="163"/>
        <item x="183"/>
        <item x="116"/>
        <item x="101"/>
        <item x="50"/>
        <item x="168"/>
        <item x="161"/>
        <item x="63"/>
        <item x="78"/>
        <item x="41"/>
        <item x="68"/>
        <item x="155"/>
        <item x="140"/>
        <item x="46"/>
        <item x="71"/>
        <item x="136"/>
        <item x="8"/>
        <item x="213"/>
        <item x="152"/>
        <item x="0"/>
        <item x="60"/>
        <item x="44"/>
        <item x="95"/>
        <item x="76"/>
        <item x="178"/>
        <item x="186"/>
        <item x="174"/>
        <item x="171"/>
        <item x="187"/>
        <item x="207"/>
        <item x="31"/>
        <item x="20"/>
        <item x="157"/>
        <item x="70"/>
        <item x="172"/>
        <item x="99"/>
        <item x="110"/>
        <item x="201"/>
        <item x="137"/>
        <item x="65"/>
        <item x="36"/>
        <item x="34"/>
        <item x="3"/>
        <item x="224"/>
        <item x="37"/>
        <item x="119"/>
        <item x="12"/>
        <item x="51"/>
        <item x="188"/>
        <item x="175"/>
        <item x="203"/>
        <item x="105"/>
        <item x="160"/>
        <item x="83"/>
        <item x="217"/>
        <item x="181"/>
        <item x="106"/>
        <item x="200"/>
        <item x="170"/>
        <item x="198"/>
        <item x="128"/>
        <item x="11"/>
        <item x="192"/>
        <item x="27"/>
        <item x="86"/>
        <item x="151"/>
        <item x="13"/>
        <item x="120"/>
        <item x="150"/>
        <item x="212"/>
        <item x="113"/>
        <item x="184"/>
        <item x="100"/>
        <item x="48"/>
        <item x="90"/>
        <item x="219"/>
        <item x="169"/>
        <item x="133"/>
        <item x="84"/>
        <item x="40"/>
        <item x="22"/>
        <item x="197"/>
        <item x="117"/>
        <item x="19"/>
        <item x="54"/>
        <item x="182"/>
        <item x="75"/>
        <item x="109"/>
        <item x="125"/>
        <item x="5"/>
        <item x="73"/>
        <item x="104"/>
        <item x="7"/>
        <item x="21"/>
        <item x="210"/>
        <item x="29"/>
        <item x="211"/>
        <item x="144"/>
        <item x="146"/>
        <item x="114"/>
        <item x="94"/>
        <item x="103"/>
        <item x="141"/>
        <item x="206"/>
        <item x="80"/>
        <item x="131"/>
        <item x="85"/>
        <item x="45"/>
        <item x="223"/>
        <item x="118"/>
        <item x="123"/>
        <item x="221"/>
        <item x="166"/>
        <item x="132"/>
        <item x="35"/>
        <item x="53"/>
        <item x="191"/>
        <item x="202"/>
        <item x="156"/>
        <item x="25"/>
        <item x="164"/>
        <item x="26"/>
        <item x="69"/>
        <item x="159"/>
        <item x="222"/>
        <item x="190"/>
        <item x="112"/>
        <item x="49"/>
        <item x="10"/>
        <item x="1"/>
        <item x="59"/>
        <item x="30"/>
        <item x="165"/>
        <item x="173"/>
        <item x="16"/>
        <item x="6"/>
        <item x="209"/>
        <item x="135"/>
        <item x="145"/>
        <item x="127"/>
        <item x="185"/>
        <item x="15"/>
        <item x="214"/>
        <item x="177"/>
        <item x="74"/>
        <item x="24"/>
        <item x="89"/>
        <item x="108"/>
        <item x="218"/>
        <item x="196"/>
        <item x="93"/>
        <item x="204"/>
        <item x="88"/>
        <item x="130"/>
        <item x="149"/>
        <item x="39"/>
        <item x="58"/>
        <item x="154"/>
        <item x="122"/>
        <item x="98"/>
        <item x="195"/>
        <item t="default"/>
      </items>
    </pivotField>
    <pivotField numFmtId="9" showAll="0"/>
    <pivotField numFmtId="164" showAll="0"/>
    <pivotField numFmtId="164" showAll="0"/>
    <pivotField numFmtId="165"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3"/>
  </rowFields>
  <rowItems count="5">
    <i>
      <x v="1"/>
    </i>
    <i>
      <x v="2"/>
    </i>
    <i>
      <x/>
    </i>
    <i>
      <x v="3"/>
    </i>
    <i t="grand">
      <x/>
    </i>
  </rowItems>
  <colFields count="1">
    <field x="-2"/>
  </colFields>
  <colItems count="3">
    <i>
      <x/>
    </i>
    <i i="1">
      <x v="1"/>
    </i>
    <i i="2">
      <x v="2"/>
    </i>
  </colItems>
  <dataFields count="3">
    <dataField name="Total Revenue (₹)  " fld="8" baseField="0" baseItem="0" numFmtId="167"/>
    <dataField name="Units Sold  " fld="6" baseField="0" baseItem="0"/>
    <dataField name=" Avg Deal Size" fld="16" baseField="0" baseItem="0" numFmtId="167"/>
  </dataFields>
  <formats count="21">
    <format dxfId="63">
      <pivotArea outline="0" collapsedLevelsAreSubtotals="1" fieldPosition="0">
        <references count="1">
          <reference field="4294967294" count="1" selected="0">
            <x v="0"/>
          </reference>
        </references>
      </pivotArea>
    </format>
    <format dxfId="62">
      <pivotArea outline="0" collapsedLevelsAreSubtotals="1" fieldPosition="0">
        <references count="1">
          <reference field="4294967294" count="1" selected="0">
            <x v="2"/>
          </reference>
        </references>
      </pivotArea>
    </format>
    <format dxfId="61">
      <pivotArea dataOnly="0" labelOnly="1" outline="0" fieldPosition="0">
        <references count="1">
          <reference field="4294967294" count="1">
            <x v="2"/>
          </reference>
        </references>
      </pivotArea>
    </format>
    <format dxfId="60">
      <pivotArea type="all" dataOnly="0" outline="0" fieldPosition="0"/>
    </format>
    <format dxfId="59">
      <pivotArea outline="0" collapsedLevelsAreSubtotals="1" fieldPosition="0"/>
    </format>
    <format dxfId="58">
      <pivotArea field="3" type="button" dataOnly="0" labelOnly="1" outline="0" axis="axisRow" fieldPosition="0"/>
    </format>
    <format dxfId="57">
      <pivotArea dataOnly="0" labelOnly="1" fieldPosition="0">
        <references count="1">
          <reference field="3" count="0"/>
        </references>
      </pivotArea>
    </format>
    <format dxfId="56">
      <pivotArea dataOnly="0" labelOnly="1" grandRow="1" outline="0" fieldPosition="0"/>
    </format>
    <format dxfId="55">
      <pivotArea dataOnly="0" labelOnly="1" outline="0" fieldPosition="0">
        <references count="1">
          <reference field="4294967294" count="3">
            <x v="0"/>
            <x v="1"/>
            <x v="2"/>
          </reference>
        </references>
      </pivotArea>
    </format>
    <format dxfId="54">
      <pivotArea type="all" dataOnly="0" outline="0" fieldPosition="0"/>
    </format>
    <format dxfId="53">
      <pivotArea outline="0" collapsedLevelsAreSubtotals="1" fieldPosition="0"/>
    </format>
    <format dxfId="52">
      <pivotArea field="3" type="button" dataOnly="0" labelOnly="1" outline="0" axis="axisRow" fieldPosition="0"/>
    </format>
    <format dxfId="51">
      <pivotArea dataOnly="0" labelOnly="1" fieldPosition="0">
        <references count="1">
          <reference field="3" count="0"/>
        </references>
      </pivotArea>
    </format>
    <format dxfId="50">
      <pivotArea dataOnly="0" labelOnly="1" grandRow="1" outline="0" fieldPosition="0"/>
    </format>
    <format dxfId="49">
      <pivotArea dataOnly="0" labelOnly="1" outline="0" fieldPosition="0">
        <references count="1">
          <reference field="4294967294" count="3">
            <x v="0"/>
            <x v="1"/>
            <x v="2"/>
          </reference>
        </references>
      </pivotArea>
    </format>
    <format dxfId="48">
      <pivotArea type="all" dataOnly="0" outline="0" fieldPosition="0"/>
    </format>
    <format dxfId="47">
      <pivotArea outline="0" collapsedLevelsAreSubtotals="1" fieldPosition="0"/>
    </format>
    <format dxfId="46">
      <pivotArea field="3" type="button" dataOnly="0" labelOnly="1" outline="0" axis="axisRow" fieldPosition="0"/>
    </format>
    <format dxfId="45">
      <pivotArea dataOnly="0" labelOnly="1" fieldPosition="0">
        <references count="1">
          <reference field="3" count="0"/>
        </references>
      </pivotArea>
    </format>
    <format dxfId="44">
      <pivotArea dataOnly="0" labelOnly="1" grandRow="1" outline="0" fieldPosition="0"/>
    </format>
    <format dxfId="4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F93DEF9-6737-4AF6-AB46-1E42B8475082}" sourceName="Product">
  <pivotTables>
    <pivotTable tabId="4" name="PivotTable5"/>
    <pivotTable tabId="4" name="PivotTable3"/>
    <pivotTable tabId="4" name="PivotTable6"/>
    <pivotTable tabId="4" name="PivotTable7"/>
    <pivotTable tabId="6" name="PivotTable4"/>
    <pivotTable tabId="4" name="PivotTable10"/>
    <pivotTable tabId="5" name="PivotTable11"/>
    <pivotTable tabId="8" name="PivotTable13"/>
    <pivotTable tabId="8" name="PivotTable14"/>
    <pivotTable tabId="8" name="PivotTable15"/>
  </pivotTables>
  <data>
    <tabular pivotCacheId="330661210">
      <items count="5">
        <i x="4" s="1"/>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218B2F-987D-43DE-B100-8796812A89B3}" sourceName="Region">
  <pivotTables>
    <pivotTable tabId="4" name="PivotTable3"/>
    <pivotTable tabId="4" name="PivotTable10"/>
    <pivotTable tabId="4" name="PivotTable5"/>
    <pivotTable tabId="4" name="PivotTable6"/>
    <pivotTable tabId="4" name="PivotTable7"/>
    <pivotTable tabId="6" name="PivotTable4"/>
    <pivotTable tabId="8" name="PivotTable13"/>
    <pivotTable tabId="8" name="PivotTable14"/>
    <pivotTable tabId="8" name="PivotTable15"/>
  </pivotTables>
  <data>
    <tabular pivotCacheId="33066121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6404D93-1781-4EC1-95B3-519452377F2F}" cache="Slicer_Product" caption="Product" rowHeight="241300"/>
  <slicer name="Region" xr10:uid="{09A37843-D096-4943-8E2B-0960117AF9F2}"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89F84B-F186-45B0-B155-5E148BAF8CED}" name="Table2" displayName="Table2" ref="A1:M241" totalsRowShown="0" headerRowDxfId="146" dataDxfId="144" headerRowBorderDxfId="145" tableBorderDxfId="143" totalsRowBorderDxfId="142" headerRowCellStyle="Normal 2" dataCellStyle="Normal 2">
  <autoFilter ref="A1:M241" xr:uid="{7093EB2C-4E89-4354-96DE-CB645C67EA82}"/>
  <tableColumns count="13">
    <tableColumn id="1" xr3:uid="{408D4B7F-9A61-4679-A5C7-7CB5FD3E6DCE}" name="Order ID" dataDxfId="141" dataCellStyle="Normal 2"/>
    <tableColumn id="2" xr3:uid="{2EAEE0A1-A877-478A-8A09-688DCFF47442}" name="Month" dataDxfId="140" dataCellStyle="Normal 2"/>
    <tableColumn id="3" xr3:uid="{45308731-A73B-4F4F-8020-6C4E0326DA9F}" name="Quarter" dataDxfId="139" dataCellStyle="Normal 2"/>
    <tableColumn id="4" xr3:uid="{E31619E2-EEF9-4256-9FE3-BEDFF28BC0D0}" name="Region" dataDxfId="138" dataCellStyle="Normal 2"/>
    <tableColumn id="5" xr3:uid="{69F8F8D3-A6FE-4D9D-9D28-A44E50E75709}" name="Sales Rep" dataDxfId="137" dataCellStyle="Normal 2"/>
    <tableColumn id="6" xr3:uid="{FFB47AE3-F5DA-4F45-8769-2F56A4FED002}" name="Product" dataDxfId="136" dataCellStyle="Normal 2"/>
    <tableColumn id="7" xr3:uid="{862341DE-8528-4ADA-8971-83963D2D1F84}" name="Units Sold" dataDxfId="135" dataCellStyle="Normal 2"/>
    <tableColumn id="8" xr3:uid="{6F82624F-76A0-495D-B53E-3EA5174227BB}" name="Unit Price (₹)" dataDxfId="134" dataCellStyle="Normal 2"/>
    <tableColumn id="9" xr3:uid="{B4538087-4375-4793-96FF-8DDC726F42BA}" name="Revenue (₹)" dataDxfId="133" dataCellStyle="Normal 2"/>
    <tableColumn id="10" xr3:uid="{66AE3460-F643-4FDE-9AE0-6E15ADBA065D}" name="Discount %" dataDxfId="132" dataCellStyle="Normal 2"/>
    <tableColumn id="11" xr3:uid="{E1576882-A7C6-4E2E-8800-B6421BA3A40C}" name="Net Revenue (₹)" dataDxfId="131" dataCellStyle="Normal 2"/>
    <tableColumn id="12" xr3:uid="{7B2708FE-7C00-422F-A767-495879F3D735}" name="Target (₹)" dataDxfId="130" dataCellStyle="Normal 2"/>
    <tableColumn id="13" xr3:uid="{3A9F0C7A-8ED2-4ACF-8C88-02665F6D21F6}" name="Achieved %" dataDxfId="129"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6.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1524F-269B-4206-ACC6-FE81A5D7900A}">
  <dimension ref="A1:M241"/>
  <sheetViews>
    <sheetView topLeftCell="C1" workbookViewId="0">
      <pane ySplit="1" topLeftCell="A2" activePane="bottomLeft" state="frozen"/>
      <selection activeCell="C1" sqref="C1"/>
      <selection pane="bottomLeft" activeCell="N3" sqref="N3"/>
    </sheetView>
  </sheetViews>
  <sheetFormatPr defaultRowHeight="15" x14ac:dyDescent="0.25"/>
  <cols>
    <col min="1" max="1" width="14.28515625" bestFit="1" customWidth="1"/>
    <col min="2" max="2" width="12" bestFit="1" customWidth="1"/>
    <col min="3" max="3" width="13.42578125" bestFit="1" customWidth="1"/>
    <col min="4" max="4" width="12.85546875" bestFit="1" customWidth="1"/>
    <col min="5" max="5" width="15.85546875" bestFit="1" customWidth="1"/>
    <col min="6" max="6" width="13.5703125" bestFit="1" customWidth="1"/>
    <col min="7" max="7" width="16" bestFit="1" customWidth="1"/>
    <col min="8" max="8" width="18.85546875" bestFit="1" customWidth="1"/>
    <col min="9" max="9" width="18.140625" bestFit="1" customWidth="1"/>
    <col min="10" max="10" width="17" bestFit="1" customWidth="1"/>
    <col min="11" max="11" width="22.42578125" bestFit="1" customWidth="1"/>
    <col min="12" max="12" width="15.42578125" bestFit="1" customWidth="1"/>
    <col min="13" max="13" width="17.42578125" bestFit="1" customWidth="1"/>
  </cols>
  <sheetData>
    <row r="1" spans="1:13" x14ac:dyDescent="0.25">
      <c r="A1" s="11" t="s">
        <v>0</v>
      </c>
      <c r="B1" s="12" t="s">
        <v>1</v>
      </c>
      <c r="C1" s="12" t="s">
        <v>2</v>
      </c>
      <c r="D1" s="12" t="s">
        <v>3</v>
      </c>
      <c r="E1" s="12" t="s">
        <v>4</v>
      </c>
      <c r="F1" s="12" t="s">
        <v>5</v>
      </c>
      <c r="G1" s="12" t="s">
        <v>6</v>
      </c>
      <c r="H1" s="12" t="s">
        <v>7</v>
      </c>
      <c r="I1" s="13" t="s">
        <v>8</v>
      </c>
      <c r="J1" s="12" t="s">
        <v>9</v>
      </c>
      <c r="K1" s="12" t="s">
        <v>10</v>
      </c>
      <c r="L1" s="12" t="s">
        <v>11</v>
      </c>
      <c r="M1" s="14" t="s">
        <v>12</v>
      </c>
    </row>
    <row r="2" spans="1:13" x14ac:dyDescent="0.25">
      <c r="A2" s="7">
        <v>1001</v>
      </c>
      <c r="B2" s="1" t="s">
        <v>13</v>
      </c>
      <c r="C2" s="1" t="s">
        <v>14</v>
      </c>
      <c r="D2" s="1" t="s">
        <v>15</v>
      </c>
      <c r="E2" s="1" t="s">
        <v>16</v>
      </c>
      <c r="F2" s="1" t="s">
        <v>17</v>
      </c>
      <c r="G2" s="1">
        <v>3</v>
      </c>
      <c r="H2" s="2">
        <v>68100</v>
      </c>
      <c r="I2" s="2">
        <v>204300</v>
      </c>
      <c r="J2" s="3">
        <v>0</v>
      </c>
      <c r="K2" s="2">
        <v>204300</v>
      </c>
      <c r="L2" s="2">
        <v>186000</v>
      </c>
      <c r="M2" s="9">
        <v>1.09838709677419</v>
      </c>
    </row>
    <row r="3" spans="1:13" x14ac:dyDescent="0.25">
      <c r="A3" s="8">
        <v>1002</v>
      </c>
      <c r="B3" s="4" t="s">
        <v>13</v>
      </c>
      <c r="C3" s="4" t="s">
        <v>14</v>
      </c>
      <c r="D3" s="4" t="s">
        <v>15</v>
      </c>
      <c r="E3" s="4" t="s">
        <v>16</v>
      </c>
      <c r="F3" s="4" t="s">
        <v>18</v>
      </c>
      <c r="G3" s="4">
        <v>15</v>
      </c>
      <c r="H3" s="5">
        <v>33500</v>
      </c>
      <c r="I3" s="5">
        <v>502500</v>
      </c>
      <c r="J3" s="6">
        <v>0.1</v>
      </c>
      <c r="K3" s="5">
        <v>452250</v>
      </c>
      <c r="L3" s="5">
        <v>424000</v>
      </c>
      <c r="M3" s="10">
        <v>1.1851415094339599</v>
      </c>
    </row>
    <row r="4" spans="1:13" x14ac:dyDescent="0.25">
      <c r="A4" s="7">
        <v>1003</v>
      </c>
      <c r="B4" s="1" t="s">
        <v>13</v>
      </c>
      <c r="C4" s="1" t="s">
        <v>14</v>
      </c>
      <c r="D4" s="1" t="s">
        <v>15</v>
      </c>
      <c r="E4" s="1" t="s">
        <v>19</v>
      </c>
      <c r="F4" s="1" t="s">
        <v>20</v>
      </c>
      <c r="G4" s="1">
        <v>9</v>
      </c>
      <c r="H4" s="2">
        <v>16300</v>
      </c>
      <c r="I4" s="2">
        <v>146700</v>
      </c>
      <c r="J4" s="3">
        <v>0</v>
      </c>
      <c r="K4" s="2">
        <v>146700</v>
      </c>
      <c r="L4" s="2">
        <v>134000</v>
      </c>
      <c r="M4" s="9">
        <v>1.0947761194029899</v>
      </c>
    </row>
    <row r="5" spans="1:13" x14ac:dyDescent="0.25">
      <c r="A5" s="8">
        <v>1004</v>
      </c>
      <c r="B5" s="4" t="s">
        <v>13</v>
      </c>
      <c r="C5" s="4" t="s">
        <v>14</v>
      </c>
      <c r="D5" s="4" t="s">
        <v>15</v>
      </c>
      <c r="E5" s="4" t="s">
        <v>16</v>
      </c>
      <c r="F5" s="4" t="s">
        <v>21</v>
      </c>
      <c r="G5" s="4">
        <v>12</v>
      </c>
      <c r="H5" s="5">
        <v>20700</v>
      </c>
      <c r="I5" s="5">
        <v>248400</v>
      </c>
      <c r="J5" s="6">
        <v>0.15</v>
      </c>
      <c r="K5" s="5">
        <v>211140</v>
      </c>
      <c r="L5" s="5">
        <v>286000</v>
      </c>
      <c r="M5" s="10">
        <v>0.86853146853146901</v>
      </c>
    </row>
    <row r="6" spans="1:13" x14ac:dyDescent="0.25">
      <c r="A6" s="7">
        <v>1005</v>
      </c>
      <c r="B6" s="1" t="s">
        <v>13</v>
      </c>
      <c r="C6" s="1" t="s">
        <v>14</v>
      </c>
      <c r="D6" s="1" t="s">
        <v>15</v>
      </c>
      <c r="E6" s="1" t="s">
        <v>19</v>
      </c>
      <c r="F6" s="1" t="s">
        <v>22</v>
      </c>
      <c r="G6" s="1">
        <v>17</v>
      </c>
      <c r="H6" s="2">
        <v>4500</v>
      </c>
      <c r="I6" s="2">
        <v>76500</v>
      </c>
      <c r="J6" s="3">
        <v>0.05</v>
      </c>
      <c r="K6" s="2">
        <v>72675</v>
      </c>
      <c r="L6" s="2">
        <v>92000</v>
      </c>
      <c r="M6" s="9">
        <v>0.83152173913043503</v>
      </c>
    </row>
    <row r="7" spans="1:13" x14ac:dyDescent="0.25">
      <c r="A7" s="8">
        <v>1006</v>
      </c>
      <c r="B7" s="4" t="s">
        <v>13</v>
      </c>
      <c r="C7" s="4" t="s">
        <v>14</v>
      </c>
      <c r="D7" s="4" t="s">
        <v>23</v>
      </c>
      <c r="E7" s="4" t="s">
        <v>24</v>
      </c>
      <c r="F7" s="4" t="s">
        <v>17</v>
      </c>
      <c r="G7" s="4">
        <v>5</v>
      </c>
      <c r="H7" s="5">
        <v>67600</v>
      </c>
      <c r="I7" s="5">
        <v>338000</v>
      </c>
      <c r="J7" s="6">
        <v>0.05</v>
      </c>
      <c r="K7" s="5">
        <v>321100</v>
      </c>
      <c r="L7" s="5">
        <v>317000</v>
      </c>
      <c r="M7" s="10">
        <v>1.06624605678233</v>
      </c>
    </row>
    <row r="8" spans="1:13" x14ac:dyDescent="0.25">
      <c r="A8" s="7">
        <v>1007</v>
      </c>
      <c r="B8" s="1" t="s">
        <v>13</v>
      </c>
      <c r="C8" s="1" t="s">
        <v>14</v>
      </c>
      <c r="D8" s="1" t="s">
        <v>23</v>
      </c>
      <c r="E8" s="1" t="s">
        <v>24</v>
      </c>
      <c r="F8" s="1" t="s">
        <v>18</v>
      </c>
      <c r="G8" s="1">
        <v>17</v>
      </c>
      <c r="H8" s="2">
        <v>31000</v>
      </c>
      <c r="I8" s="2">
        <v>527000</v>
      </c>
      <c r="J8" s="3">
        <v>0</v>
      </c>
      <c r="K8" s="2">
        <v>527000</v>
      </c>
      <c r="L8" s="2">
        <v>522000</v>
      </c>
      <c r="M8" s="9">
        <v>1.0095785440613001</v>
      </c>
    </row>
    <row r="9" spans="1:13" x14ac:dyDescent="0.25">
      <c r="A9" s="8">
        <v>1008</v>
      </c>
      <c r="B9" s="4" t="s">
        <v>13</v>
      </c>
      <c r="C9" s="4" t="s">
        <v>14</v>
      </c>
      <c r="D9" s="4" t="s">
        <v>23</v>
      </c>
      <c r="E9" s="4" t="s">
        <v>25</v>
      </c>
      <c r="F9" s="4" t="s">
        <v>20</v>
      </c>
      <c r="G9" s="4">
        <v>19</v>
      </c>
      <c r="H9" s="5">
        <v>18400</v>
      </c>
      <c r="I9" s="5">
        <v>349600</v>
      </c>
      <c r="J9" s="6">
        <v>0</v>
      </c>
      <c r="K9" s="5">
        <v>349600</v>
      </c>
      <c r="L9" s="5">
        <v>407000</v>
      </c>
      <c r="M9" s="10">
        <v>0.85896805896805895</v>
      </c>
    </row>
    <row r="10" spans="1:13" x14ac:dyDescent="0.25">
      <c r="A10" s="7">
        <v>1009</v>
      </c>
      <c r="B10" s="1" t="s">
        <v>13</v>
      </c>
      <c r="C10" s="1" t="s">
        <v>14</v>
      </c>
      <c r="D10" s="1" t="s">
        <v>23</v>
      </c>
      <c r="E10" s="1" t="s">
        <v>24</v>
      </c>
      <c r="F10" s="1" t="s">
        <v>21</v>
      </c>
      <c r="G10" s="1">
        <v>10</v>
      </c>
      <c r="H10" s="2">
        <v>20100</v>
      </c>
      <c r="I10" s="2">
        <v>201000</v>
      </c>
      <c r="J10" s="3">
        <v>0.05</v>
      </c>
      <c r="K10" s="2">
        <v>190950</v>
      </c>
      <c r="L10" s="2">
        <v>244000</v>
      </c>
      <c r="M10" s="9">
        <v>0.82377049180327899</v>
      </c>
    </row>
    <row r="11" spans="1:13" x14ac:dyDescent="0.25">
      <c r="A11" s="8">
        <v>1010</v>
      </c>
      <c r="B11" s="4" t="s">
        <v>13</v>
      </c>
      <c r="C11" s="4" t="s">
        <v>14</v>
      </c>
      <c r="D11" s="4" t="s">
        <v>23</v>
      </c>
      <c r="E11" s="4" t="s">
        <v>25</v>
      </c>
      <c r="F11" s="4" t="s">
        <v>22</v>
      </c>
      <c r="G11" s="4">
        <v>28</v>
      </c>
      <c r="H11" s="5">
        <v>4200</v>
      </c>
      <c r="I11" s="5">
        <v>117600</v>
      </c>
      <c r="J11" s="6">
        <v>0</v>
      </c>
      <c r="K11" s="5">
        <v>117600</v>
      </c>
      <c r="L11" s="5">
        <v>97000</v>
      </c>
      <c r="M11" s="10">
        <v>1.21237113402062</v>
      </c>
    </row>
    <row r="12" spans="1:13" x14ac:dyDescent="0.25">
      <c r="A12" s="7">
        <v>1011</v>
      </c>
      <c r="B12" s="1" t="s">
        <v>13</v>
      </c>
      <c r="C12" s="1" t="s">
        <v>14</v>
      </c>
      <c r="D12" s="1" t="s">
        <v>26</v>
      </c>
      <c r="E12" s="1" t="s">
        <v>27</v>
      </c>
      <c r="F12" s="1" t="s">
        <v>17</v>
      </c>
      <c r="G12" s="1">
        <v>7</v>
      </c>
      <c r="H12" s="2">
        <v>71300</v>
      </c>
      <c r="I12" s="2">
        <v>499100</v>
      </c>
      <c r="J12" s="3">
        <v>0</v>
      </c>
      <c r="K12" s="2">
        <v>499100</v>
      </c>
      <c r="L12" s="2">
        <v>616000</v>
      </c>
      <c r="M12" s="9">
        <v>0.81022727272727302</v>
      </c>
    </row>
    <row r="13" spans="1:13" x14ac:dyDescent="0.25">
      <c r="A13" s="8">
        <v>1012</v>
      </c>
      <c r="B13" s="4" t="s">
        <v>13</v>
      </c>
      <c r="C13" s="4" t="s">
        <v>14</v>
      </c>
      <c r="D13" s="4" t="s">
        <v>26</v>
      </c>
      <c r="E13" s="4" t="s">
        <v>28</v>
      </c>
      <c r="F13" s="4" t="s">
        <v>18</v>
      </c>
      <c r="G13" s="4">
        <v>9</v>
      </c>
      <c r="H13" s="5">
        <v>31700</v>
      </c>
      <c r="I13" s="5">
        <v>285300</v>
      </c>
      <c r="J13" s="6">
        <v>0.05</v>
      </c>
      <c r="K13" s="5">
        <v>271035</v>
      </c>
      <c r="L13" s="5">
        <v>251000</v>
      </c>
      <c r="M13" s="10">
        <v>1.1366533864541799</v>
      </c>
    </row>
    <row r="14" spans="1:13" x14ac:dyDescent="0.25">
      <c r="A14" s="7">
        <v>1013</v>
      </c>
      <c r="B14" s="1" t="s">
        <v>13</v>
      </c>
      <c r="C14" s="1" t="s">
        <v>14</v>
      </c>
      <c r="D14" s="1" t="s">
        <v>26</v>
      </c>
      <c r="E14" s="1" t="s">
        <v>28</v>
      </c>
      <c r="F14" s="1" t="s">
        <v>20</v>
      </c>
      <c r="G14" s="1">
        <v>14</v>
      </c>
      <c r="H14" s="2">
        <v>18600</v>
      </c>
      <c r="I14" s="2">
        <v>260400</v>
      </c>
      <c r="J14" s="3">
        <v>0.15</v>
      </c>
      <c r="K14" s="2">
        <v>221340</v>
      </c>
      <c r="L14" s="2">
        <v>330000</v>
      </c>
      <c r="M14" s="9">
        <v>0.78909090909090895</v>
      </c>
    </row>
    <row r="15" spans="1:13" x14ac:dyDescent="0.25">
      <c r="A15" s="8">
        <v>1014</v>
      </c>
      <c r="B15" s="4" t="s">
        <v>13</v>
      </c>
      <c r="C15" s="4" t="s">
        <v>14</v>
      </c>
      <c r="D15" s="4" t="s">
        <v>26</v>
      </c>
      <c r="E15" s="4" t="s">
        <v>27</v>
      </c>
      <c r="F15" s="4" t="s">
        <v>21</v>
      </c>
      <c r="G15" s="4">
        <v>13</v>
      </c>
      <c r="H15" s="5">
        <v>22600</v>
      </c>
      <c r="I15" s="5">
        <v>293800</v>
      </c>
      <c r="J15" s="6">
        <v>0.1</v>
      </c>
      <c r="K15" s="5">
        <v>264420</v>
      </c>
      <c r="L15" s="5">
        <v>342000</v>
      </c>
      <c r="M15" s="10">
        <v>0.85906432748537997</v>
      </c>
    </row>
    <row r="16" spans="1:13" x14ac:dyDescent="0.25">
      <c r="A16" s="7">
        <v>1015</v>
      </c>
      <c r="B16" s="1" t="s">
        <v>13</v>
      </c>
      <c r="C16" s="1" t="s">
        <v>14</v>
      </c>
      <c r="D16" s="1" t="s">
        <v>26</v>
      </c>
      <c r="E16" s="1" t="s">
        <v>27</v>
      </c>
      <c r="F16" s="1" t="s">
        <v>22</v>
      </c>
      <c r="G16" s="1">
        <v>24</v>
      </c>
      <c r="H16" s="2">
        <v>4400</v>
      </c>
      <c r="I16" s="2">
        <v>105600</v>
      </c>
      <c r="J16" s="3">
        <v>0.15</v>
      </c>
      <c r="K16" s="2">
        <v>89760</v>
      </c>
      <c r="L16" s="2">
        <v>121000</v>
      </c>
      <c r="M16" s="9">
        <v>0.87272727272727302</v>
      </c>
    </row>
    <row r="17" spans="1:13" x14ac:dyDescent="0.25">
      <c r="A17" s="8">
        <v>1016</v>
      </c>
      <c r="B17" s="4" t="s">
        <v>13</v>
      </c>
      <c r="C17" s="4" t="s">
        <v>14</v>
      </c>
      <c r="D17" s="4" t="s">
        <v>29</v>
      </c>
      <c r="E17" s="4" t="s">
        <v>30</v>
      </c>
      <c r="F17" s="4" t="s">
        <v>17</v>
      </c>
      <c r="G17" s="4">
        <v>8</v>
      </c>
      <c r="H17" s="5">
        <v>69500</v>
      </c>
      <c r="I17" s="5">
        <v>556000</v>
      </c>
      <c r="J17" s="6">
        <v>0</v>
      </c>
      <c r="K17" s="5">
        <v>556000</v>
      </c>
      <c r="L17" s="5">
        <v>508000</v>
      </c>
      <c r="M17" s="10">
        <v>1.09448818897638</v>
      </c>
    </row>
    <row r="18" spans="1:13" x14ac:dyDescent="0.25">
      <c r="A18" s="7">
        <v>1017</v>
      </c>
      <c r="B18" s="1" t="s">
        <v>13</v>
      </c>
      <c r="C18" s="1" t="s">
        <v>14</v>
      </c>
      <c r="D18" s="1" t="s">
        <v>29</v>
      </c>
      <c r="E18" s="1" t="s">
        <v>30</v>
      </c>
      <c r="F18" s="1" t="s">
        <v>18</v>
      </c>
      <c r="G18" s="1">
        <v>17</v>
      </c>
      <c r="H18" s="2">
        <v>30800</v>
      </c>
      <c r="I18" s="2">
        <v>523600</v>
      </c>
      <c r="J18" s="3">
        <v>0.05</v>
      </c>
      <c r="K18" s="2">
        <v>497420</v>
      </c>
      <c r="L18" s="2">
        <v>436000</v>
      </c>
      <c r="M18" s="9">
        <v>1.20091743119266</v>
      </c>
    </row>
    <row r="19" spans="1:13" x14ac:dyDescent="0.25">
      <c r="A19" s="8">
        <v>1018</v>
      </c>
      <c r="B19" s="4" t="s">
        <v>13</v>
      </c>
      <c r="C19" s="4" t="s">
        <v>14</v>
      </c>
      <c r="D19" s="4" t="s">
        <v>29</v>
      </c>
      <c r="E19" s="4" t="s">
        <v>31</v>
      </c>
      <c r="F19" s="4" t="s">
        <v>20</v>
      </c>
      <c r="G19" s="4">
        <v>14</v>
      </c>
      <c r="H19" s="5">
        <v>18600</v>
      </c>
      <c r="I19" s="5">
        <v>260400</v>
      </c>
      <c r="J19" s="6">
        <v>0.05</v>
      </c>
      <c r="K19" s="5">
        <v>247380</v>
      </c>
      <c r="L19" s="5">
        <v>324000</v>
      </c>
      <c r="M19" s="10">
        <v>0.80370370370370403</v>
      </c>
    </row>
    <row r="20" spans="1:13" x14ac:dyDescent="0.25">
      <c r="A20" s="7">
        <v>1019</v>
      </c>
      <c r="B20" s="1" t="s">
        <v>13</v>
      </c>
      <c r="C20" s="1" t="s">
        <v>14</v>
      </c>
      <c r="D20" s="1" t="s">
        <v>29</v>
      </c>
      <c r="E20" s="1" t="s">
        <v>31</v>
      </c>
      <c r="F20" s="1" t="s">
        <v>21</v>
      </c>
      <c r="G20" s="1">
        <v>6</v>
      </c>
      <c r="H20" s="2">
        <v>21000</v>
      </c>
      <c r="I20" s="2">
        <v>126000</v>
      </c>
      <c r="J20" s="3">
        <v>0</v>
      </c>
      <c r="K20" s="2">
        <v>126000</v>
      </c>
      <c r="L20" s="2">
        <v>148000</v>
      </c>
      <c r="M20" s="9">
        <v>0.85135135135135098</v>
      </c>
    </row>
    <row r="21" spans="1:13" x14ac:dyDescent="0.25">
      <c r="A21" s="8">
        <v>1020</v>
      </c>
      <c r="B21" s="4" t="s">
        <v>13</v>
      </c>
      <c r="C21" s="4" t="s">
        <v>14</v>
      </c>
      <c r="D21" s="4" t="s">
        <v>29</v>
      </c>
      <c r="E21" s="4" t="s">
        <v>31</v>
      </c>
      <c r="F21" s="4" t="s">
        <v>22</v>
      </c>
      <c r="G21" s="4">
        <v>33</v>
      </c>
      <c r="H21" s="5">
        <v>4600</v>
      </c>
      <c r="I21" s="5">
        <v>151800</v>
      </c>
      <c r="J21" s="6">
        <v>0.1</v>
      </c>
      <c r="K21" s="5">
        <v>136620</v>
      </c>
      <c r="L21" s="5">
        <v>152000</v>
      </c>
      <c r="M21" s="10">
        <v>0.99868421052631595</v>
      </c>
    </row>
    <row r="22" spans="1:13" x14ac:dyDescent="0.25">
      <c r="A22" s="7">
        <v>1021</v>
      </c>
      <c r="B22" s="1" t="s">
        <v>32</v>
      </c>
      <c r="C22" s="1" t="s">
        <v>14</v>
      </c>
      <c r="D22" s="1" t="s">
        <v>15</v>
      </c>
      <c r="E22" s="1" t="s">
        <v>16</v>
      </c>
      <c r="F22" s="1" t="s">
        <v>17</v>
      </c>
      <c r="G22" s="1">
        <v>5</v>
      </c>
      <c r="H22" s="2">
        <v>65100</v>
      </c>
      <c r="I22" s="2">
        <v>325500</v>
      </c>
      <c r="J22" s="3">
        <v>0</v>
      </c>
      <c r="K22" s="2">
        <v>325500</v>
      </c>
      <c r="L22" s="2">
        <v>383000</v>
      </c>
      <c r="M22" s="9">
        <v>0.84986945169712802</v>
      </c>
    </row>
    <row r="23" spans="1:13" x14ac:dyDescent="0.25">
      <c r="A23" s="8">
        <v>1022</v>
      </c>
      <c r="B23" s="4" t="s">
        <v>32</v>
      </c>
      <c r="C23" s="4" t="s">
        <v>14</v>
      </c>
      <c r="D23" s="4" t="s">
        <v>15</v>
      </c>
      <c r="E23" s="4" t="s">
        <v>16</v>
      </c>
      <c r="F23" s="4" t="s">
        <v>18</v>
      </c>
      <c r="G23" s="4">
        <v>7</v>
      </c>
      <c r="H23" s="5">
        <v>32800</v>
      </c>
      <c r="I23" s="5">
        <v>229600</v>
      </c>
      <c r="J23" s="6">
        <v>0.15</v>
      </c>
      <c r="K23" s="5">
        <v>195160</v>
      </c>
      <c r="L23" s="5">
        <v>232000</v>
      </c>
      <c r="M23" s="10">
        <v>0.98965517241379297</v>
      </c>
    </row>
    <row r="24" spans="1:13" x14ac:dyDescent="0.25">
      <c r="A24" s="7">
        <v>1023</v>
      </c>
      <c r="B24" s="1" t="s">
        <v>32</v>
      </c>
      <c r="C24" s="1" t="s">
        <v>14</v>
      </c>
      <c r="D24" s="1" t="s">
        <v>15</v>
      </c>
      <c r="E24" s="1" t="s">
        <v>16</v>
      </c>
      <c r="F24" s="1" t="s">
        <v>20</v>
      </c>
      <c r="G24" s="1">
        <v>20</v>
      </c>
      <c r="H24" s="2">
        <v>17600</v>
      </c>
      <c r="I24" s="2">
        <v>352000</v>
      </c>
      <c r="J24" s="3">
        <v>0.05</v>
      </c>
      <c r="K24" s="2">
        <v>334400</v>
      </c>
      <c r="L24" s="2">
        <v>375000</v>
      </c>
      <c r="M24" s="9">
        <v>0.93866666666666698</v>
      </c>
    </row>
    <row r="25" spans="1:13" x14ac:dyDescent="0.25">
      <c r="A25" s="8">
        <v>1024</v>
      </c>
      <c r="B25" s="4" t="s">
        <v>32</v>
      </c>
      <c r="C25" s="4" t="s">
        <v>14</v>
      </c>
      <c r="D25" s="4" t="s">
        <v>15</v>
      </c>
      <c r="E25" s="4" t="s">
        <v>16</v>
      </c>
      <c r="F25" s="4" t="s">
        <v>21</v>
      </c>
      <c r="G25" s="4">
        <v>14</v>
      </c>
      <c r="H25" s="5">
        <v>23000</v>
      </c>
      <c r="I25" s="5">
        <v>322000</v>
      </c>
      <c r="J25" s="6">
        <v>0.15</v>
      </c>
      <c r="K25" s="5">
        <v>273700</v>
      </c>
      <c r="L25" s="5">
        <v>400000</v>
      </c>
      <c r="M25" s="10">
        <v>0.80500000000000005</v>
      </c>
    </row>
    <row r="26" spans="1:13" x14ac:dyDescent="0.25">
      <c r="A26" s="7">
        <v>1025</v>
      </c>
      <c r="B26" s="1" t="s">
        <v>32</v>
      </c>
      <c r="C26" s="1" t="s">
        <v>14</v>
      </c>
      <c r="D26" s="1" t="s">
        <v>15</v>
      </c>
      <c r="E26" s="1" t="s">
        <v>19</v>
      </c>
      <c r="F26" s="1" t="s">
        <v>22</v>
      </c>
      <c r="G26" s="1">
        <v>34</v>
      </c>
      <c r="H26" s="2">
        <v>4600</v>
      </c>
      <c r="I26" s="2">
        <v>156400</v>
      </c>
      <c r="J26" s="3">
        <v>0</v>
      </c>
      <c r="K26" s="2">
        <v>156400</v>
      </c>
      <c r="L26" s="2">
        <v>148000</v>
      </c>
      <c r="M26" s="9">
        <v>1.05675675675676</v>
      </c>
    </row>
    <row r="27" spans="1:13" x14ac:dyDescent="0.25">
      <c r="A27" s="8">
        <v>1026</v>
      </c>
      <c r="B27" s="4" t="s">
        <v>32</v>
      </c>
      <c r="C27" s="4" t="s">
        <v>14</v>
      </c>
      <c r="D27" s="4" t="s">
        <v>23</v>
      </c>
      <c r="E27" s="4" t="s">
        <v>24</v>
      </c>
      <c r="F27" s="4" t="s">
        <v>17</v>
      </c>
      <c r="G27" s="4">
        <v>10</v>
      </c>
      <c r="H27" s="5">
        <v>58500</v>
      </c>
      <c r="I27" s="5">
        <v>585000</v>
      </c>
      <c r="J27" s="6">
        <v>0.15</v>
      </c>
      <c r="K27" s="5">
        <v>497250</v>
      </c>
      <c r="L27" s="5">
        <v>724000</v>
      </c>
      <c r="M27" s="10">
        <v>0.80801104972375704</v>
      </c>
    </row>
    <row r="28" spans="1:13" x14ac:dyDescent="0.25">
      <c r="A28" s="7">
        <v>1027</v>
      </c>
      <c r="B28" s="1" t="s">
        <v>32</v>
      </c>
      <c r="C28" s="1" t="s">
        <v>14</v>
      </c>
      <c r="D28" s="1" t="s">
        <v>23</v>
      </c>
      <c r="E28" s="1" t="s">
        <v>25</v>
      </c>
      <c r="F28" s="1" t="s">
        <v>18</v>
      </c>
      <c r="G28" s="1">
        <v>13</v>
      </c>
      <c r="H28" s="2">
        <v>33700</v>
      </c>
      <c r="I28" s="2">
        <v>438100</v>
      </c>
      <c r="J28" s="3">
        <v>0.1</v>
      </c>
      <c r="K28" s="2">
        <v>394290</v>
      </c>
      <c r="L28" s="2">
        <v>550000</v>
      </c>
      <c r="M28" s="9">
        <v>0.796545454545455</v>
      </c>
    </row>
    <row r="29" spans="1:13" x14ac:dyDescent="0.25">
      <c r="A29" s="8">
        <v>1028</v>
      </c>
      <c r="B29" s="4" t="s">
        <v>32</v>
      </c>
      <c r="C29" s="4" t="s">
        <v>14</v>
      </c>
      <c r="D29" s="4" t="s">
        <v>23</v>
      </c>
      <c r="E29" s="4" t="s">
        <v>25</v>
      </c>
      <c r="F29" s="4" t="s">
        <v>20</v>
      </c>
      <c r="G29" s="4">
        <v>24</v>
      </c>
      <c r="H29" s="5">
        <v>18400</v>
      </c>
      <c r="I29" s="5">
        <v>441600</v>
      </c>
      <c r="J29" s="6">
        <v>0</v>
      </c>
      <c r="K29" s="5">
        <v>441600</v>
      </c>
      <c r="L29" s="5">
        <v>436000</v>
      </c>
      <c r="M29" s="10">
        <v>1.01284403669725</v>
      </c>
    </row>
    <row r="30" spans="1:13" x14ac:dyDescent="0.25">
      <c r="A30" s="7">
        <v>1029</v>
      </c>
      <c r="B30" s="1" t="s">
        <v>32</v>
      </c>
      <c r="C30" s="1" t="s">
        <v>14</v>
      </c>
      <c r="D30" s="1" t="s">
        <v>23</v>
      </c>
      <c r="E30" s="1" t="s">
        <v>24</v>
      </c>
      <c r="F30" s="1" t="s">
        <v>21</v>
      </c>
      <c r="G30" s="1">
        <v>12</v>
      </c>
      <c r="H30" s="2">
        <v>24000</v>
      </c>
      <c r="I30" s="2">
        <v>288000</v>
      </c>
      <c r="J30" s="3">
        <v>0.1</v>
      </c>
      <c r="K30" s="2">
        <v>259200</v>
      </c>
      <c r="L30" s="2">
        <v>363000</v>
      </c>
      <c r="M30" s="9">
        <v>0.79338842975206603</v>
      </c>
    </row>
    <row r="31" spans="1:13" x14ac:dyDescent="0.25">
      <c r="A31" s="8">
        <v>1030</v>
      </c>
      <c r="B31" s="4" t="s">
        <v>32</v>
      </c>
      <c r="C31" s="4" t="s">
        <v>14</v>
      </c>
      <c r="D31" s="4" t="s">
        <v>23</v>
      </c>
      <c r="E31" s="4" t="s">
        <v>25</v>
      </c>
      <c r="F31" s="4" t="s">
        <v>22</v>
      </c>
      <c r="G31" s="4">
        <v>25</v>
      </c>
      <c r="H31" s="5">
        <v>4100</v>
      </c>
      <c r="I31" s="5">
        <v>102500</v>
      </c>
      <c r="J31" s="6">
        <v>0.05</v>
      </c>
      <c r="K31" s="5">
        <v>97375</v>
      </c>
      <c r="L31" s="5">
        <v>127000</v>
      </c>
      <c r="M31" s="10">
        <v>0.80708661417322802</v>
      </c>
    </row>
    <row r="32" spans="1:13" x14ac:dyDescent="0.25">
      <c r="A32" s="7">
        <v>1031</v>
      </c>
      <c r="B32" s="1" t="s">
        <v>32</v>
      </c>
      <c r="C32" s="1" t="s">
        <v>14</v>
      </c>
      <c r="D32" s="1" t="s">
        <v>26</v>
      </c>
      <c r="E32" s="1" t="s">
        <v>28</v>
      </c>
      <c r="F32" s="1" t="s">
        <v>17</v>
      </c>
      <c r="G32" s="1">
        <v>6</v>
      </c>
      <c r="H32" s="2">
        <v>59300</v>
      </c>
      <c r="I32" s="2">
        <v>355800</v>
      </c>
      <c r="J32" s="3">
        <v>0.1</v>
      </c>
      <c r="K32" s="2">
        <v>320220</v>
      </c>
      <c r="L32" s="2">
        <v>453000</v>
      </c>
      <c r="M32" s="9">
        <v>0.78543046357615898</v>
      </c>
    </row>
    <row r="33" spans="1:13" x14ac:dyDescent="0.25">
      <c r="A33" s="8">
        <v>1032</v>
      </c>
      <c r="B33" s="4" t="s">
        <v>32</v>
      </c>
      <c r="C33" s="4" t="s">
        <v>14</v>
      </c>
      <c r="D33" s="4" t="s">
        <v>26</v>
      </c>
      <c r="E33" s="4" t="s">
        <v>27</v>
      </c>
      <c r="F33" s="4" t="s">
        <v>18</v>
      </c>
      <c r="G33" s="4">
        <v>16</v>
      </c>
      <c r="H33" s="5">
        <v>31900</v>
      </c>
      <c r="I33" s="5">
        <v>510400</v>
      </c>
      <c r="J33" s="6">
        <v>0</v>
      </c>
      <c r="K33" s="5">
        <v>510400</v>
      </c>
      <c r="L33" s="5">
        <v>658000</v>
      </c>
      <c r="M33" s="10">
        <v>0.77568389057750797</v>
      </c>
    </row>
    <row r="34" spans="1:13" x14ac:dyDescent="0.25">
      <c r="A34" s="7">
        <v>1033</v>
      </c>
      <c r="B34" s="1" t="s">
        <v>32</v>
      </c>
      <c r="C34" s="1" t="s">
        <v>14</v>
      </c>
      <c r="D34" s="1" t="s">
        <v>26</v>
      </c>
      <c r="E34" s="1" t="s">
        <v>27</v>
      </c>
      <c r="F34" s="1" t="s">
        <v>20</v>
      </c>
      <c r="G34" s="1">
        <v>12</v>
      </c>
      <c r="H34" s="2">
        <v>18600</v>
      </c>
      <c r="I34" s="2">
        <v>223200</v>
      </c>
      <c r="J34" s="3">
        <v>0.1</v>
      </c>
      <c r="K34" s="2">
        <v>200880</v>
      </c>
      <c r="L34" s="2">
        <v>197000</v>
      </c>
      <c r="M34" s="9">
        <v>1.13299492385787</v>
      </c>
    </row>
    <row r="35" spans="1:13" x14ac:dyDescent="0.25">
      <c r="A35" s="8">
        <v>1034</v>
      </c>
      <c r="B35" s="4" t="s">
        <v>32</v>
      </c>
      <c r="C35" s="4" t="s">
        <v>14</v>
      </c>
      <c r="D35" s="4" t="s">
        <v>26</v>
      </c>
      <c r="E35" s="4" t="s">
        <v>28</v>
      </c>
      <c r="F35" s="4" t="s">
        <v>21</v>
      </c>
      <c r="G35" s="4">
        <v>7</v>
      </c>
      <c r="H35" s="5">
        <v>23900</v>
      </c>
      <c r="I35" s="5">
        <v>167300</v>
      </c>
      <c r="J35" s="6">
        <v>0.15</v>
      </c>
      <c r="K35" s="5">
        <v>142205</v>
      </c>
      <c r="L35" s="5">
        <v>192000</v>
      </c>
      <c r="M35" s="10">
        <v>0.87135416666666698</v>
      </c>
    </row>
    <row r="36" spans="1:13" x14ac:dyDescent="0.25">
      <c r="A36" s="7">
        <v>1035</v>
      </c>
      <c r="B36" s="1" t="s">
        <v>32</v>
      </c>
      <c r="C36" s="1" t="s">
        <v>14</v>
      </c>
      <c r="D36" s="1" t="s">
        <v>26</v>
      </c>
      <c r="E36" s="1" t="s">
        <v>28</v>
      </c>
      <c r="F36" s="1" t="s">
        <v>22</v>
      </c>
      <c r="G36" s="1">
        <v>22</v>
      </c>
      <c r="H36" s="2">
        <v>4900</v>
      </c>
      <c r="I36" s="2">
        <v>107800</v>
      </c>
      <c r="J36" s="3">
        <v>0.15</v>
      </c>
      <c r="K36" s="2">
        <v>91630</v>
      </c>
      <c r="L36" s="2">
        <v>106000</v>
      </c>
      <c r="M36" s="9">
        <v>1.01698113207547</v>
      </c>
    </row>
    <row r="37" spans="1:13" x14ac:dyDescent="0.25">
      <c r="A37" s="8">
        <v>1036</v>
      </c>
      <c r="B37" s="4" t="s">
        <v>32</v>
      </c>
      <c r="C37" s="4" t="s">
        <v>14</v>
      </c>
      <c r="D37" s="4" t="s">
        <v>29</v>
      </c>
      <c r="E37" s="4" t="s">
        <v>31</v>
      </c>
      <c r="F37" s="4" t="s">
        <v>17</v>
      </c>
      <c r="G37" s="4">
        <v>4</v>
      </c>
      <c r="H37" s="5">
        <v>61700</v>
      </c>
      <c r="I37" s="5">
        <v>246800</v>
      </c>
      <c r="J37" s="6">
        <v>0</v>
      </c>
      <c r="K37" s="5">
        <v>246800</v>
      </c>
      <c r="L37" s="5">
        <v>239000</v>
      </c>
      <c r="M37" s="10">
        <v>1.0326359832636001</v>
      </c>
    </row>
    <row r="38" spans="1:13" x14ac:dyDescent="0.25">
      <c r="A38" s="7">
        <v>1037</v>
      </c>
      <c r="B38" s="1" t="s">
        <v>32</v>
      </c>
      <c r="C38" s="1" t="s">
        <v>14</v>
      </c>
      <c r="D38" s="1" t="s">
        <v>29</v>
      </c>
      <c r="E38" s="1" t="s">
        <v>30</v>
      </c>
      <c r="F38" s="1" t="s">
        <v>18</v>
      </c>
      <c r="G38" s="1">
        <v>14</v>
      </c>
      <c r="H38" s="2">
        <v>30200</v>
      </c>
      <c r="I38" s="2">
        <v>422800</v>
      </c>
      <c r="J38" s="3">
        <v>0</v>
      </c>
      <c r="K38" s="2">
        <v>422800</v>
      </c>
      <c r="L38" s="2">
        <v>488000</v>
      </c>
      <c r="M38" s="9">
        <v>0.86639344262295104</v>
      </c>
    </row>
    <row r="39" spans="1:13" x14ac:dyDescent="0.25">
      <c r="A39" s="8">
        <v>1038</v>
      </c>
      <c r="B39" s="4" t="s">
        <v>32</v>
      </c>
      <c r="C39" s="4" t="s">
        <v>14</v>
      </c>
      <c r="D39" s="4" t="s">
        <v>29</v>
      </c>
      <c r="E39" s="4" t="s">
        <v>30</v>
      </c>
      <c r="F39" s="4" t="s">
        <v>20</v>
      </c>
      <c r="G39" s="4">
        <v>15</v>
      </c>
      <c r="H39" s="5">
        <v>16400</v>
      </c>
      <c r="I39" s="5">
        <v>246000</v>
      </c>
      <c r="J39" s="6">
        <v>0</v>
      </c>
      <c r="K39" s="5">
        <v>246000</v>
      </c>
      <c r="L39" s="5">
        <v>303000</v>
      </c>
      <c r="M39" s="10">
        <v>0.81188118811881205</v>
      </c>
    </row>
    <row r="40" spans="1:13" x14ac:dyDescent="0.25">
      <c r="A40" s="7">
        <v>1039</v>
      </c>
      <c r="B40" s="1" t="s">
        <v>32</v>
      </c>
      <c r="C40" s="1" t="s">
        <v>14</v>
      </c>
      <c r="D40" s="1" t="s">
        <v>29</v>
      </c>
      <c r="E40" s="1" t="s">
        <v>30</v>
      </c>
      <c r="F40" s="1" t="s">
        <v>21</v>
      </c>
      <c r="G40" s="1">
        <v>12</v>
      </c>
      <c r="H40" s="2">
        <v>20800</v>
      </c>
      <c r="I40" s="2">
        <v>249600</v>
      </c>
      <c r="J40" s="3">
        <v>0.15</v>
      </c>
      <c r="K40" s="2">
        <v>212160</v>
      </c>
      <c r="L40" s="2">
        <v>260000</v>
      </c>
      <c r="M40" s="9">
        <v>0.96</v>
      </c>
    </row>
    <row r="41" spans="1:13" x14ac:dyDescent="0.25">
      <c r="A41" s="8">
        <v>1040</v>
      </c>
      <c r="B41" s="4" t="s">
        <v>32</v>
      </c>
      <c r="C41" s="4" t="s">
        <v>14</v>
      </c>
      <c r="D41" s="4" t="s">
        <v>29</v>
      </c>
      <c r="E41" s="4" t="s">
        <v>30</v>
      </c>
      <c r="F41" s="4" t="s">
        <v>22</v>
      </c>
      <c r="G41" s="4">
        <v>33</v>
      </c>
      <c r="H41" s="5">
        <v>4900</v>
      </c>
      <c r="I41" s="5">
        <v>161700</v>
      </c>
      <c r="J41" s="6">
        <v>0.1</v>
      </c>
      <c r="K41" s="5">
        <v>145530</v>
      </c>
      <c r="L41" s="5">
        <v>176000</v>
      </c>
      <c r="M41" s="10">
        <v>0.91874999999999996</v>
      </c>
    </row>
    <row r="42" spans="1:13" x14ac:dyDescent="0.25">
      <c r="A42" s="7">
        <v>1041</v>
      </c>
      <c r="B42" s="1" t="s">
        <v>33</v>
      </c>
      <c r="C42" s="1" t="s">
        <v>14</v>
      </c>
      <c r="D42" s="1" t="s">
        <v>15</v>
      </c>
      <c r="E42" s="1" t="s">
        <v>16</v>
      </c>
      <c r="F42" s="1" t="s">
        <v>17</v>
      </c>
      <c r="G42" s="1">
        <v>10</v>
      </c>
      <c r="H42" s="2">
        <v>69000</v>
      </c>
      <c r="I42" s="2">
        <v>690000</v>
      </c>
      <c r="J42" s="3">
        <v>0</v>
      </c>
      <c r="K42" s="2">
        <v>690000</v>
      </c>
      <c r="L42" s="2">
        <v>585000</v>
      </c>
      <c r="M42" s="9">
        <v>1.17948717948718</v>
      </c>
    </row>
    <row r="43" spans="1:13" x14ac:dyDescent="0.25">
      <c r="A43" s="8">
        <v>1042</v>
      </c>
      <c r="B43" s="4" t="s">
        <v>33</v>
      </c>
      <c r="C43" s="4" t="s">
        <v>14</v>
      </c>
      <c r="D43" s="4" t="s">
        <v>15</v>
      </c>
      <c r="E43" s="4" t="s">
        <v>19</v>
      </c>
      <c r="F43" s="4" t="s">
        <v>18</v>
      </c>
      <c r="G43" s="4">
        <v>10</v>
      </c>
      <c r="H43" s="5">
        <v>31500</v>
      </c>
      <c r="I43" s="5">
        <v>315000</v>
      </c>
      <c r="J43" s="6">
        <v>0.05</v>
      </c>
      <c r="K43" s="5">
        <v>299250</v>
      </c>
      <c r="L43" s="5">
        <v>388000</v>
      </c>
      <c r="M43" s="10">
        <v>0.81185567010309301</v>
      </c>
    </row>
    <row r="44" spans="1:13" x14ac:dyDescent="0.25">
      <c r="A44" s="7">
        <v>1043</v>
      </c>
      <c r="B44" s="1" t="s">
        <v>33</v>
      </c>
      <c r="C44" s="1" t="s">
        <v>14</v>
      </c>
      <c r="D44" s="1" t="s">
        <v>15</v>
      </c>
      <c r="E44" s="1" t="s">
        <v>16</v>
      </c>
      <c r="F44" s="1" t="s">
        <v>20</v>
      </c>
      <c r="G44" s="1">
        <v>11</v>
      </c>
      <c r="H44" s="2">
        <v>16400</v>
      </c>
      <c r="I44" s="2">
        <v>180400</v>
      </c>
      <c r="J44" s="3">
        <v>0.15</v>
      </c>
      <c r="K44" s="2">
        <v>153340</v>
      </c>
      <c r="L44" s="2">
        <v>175000</v>
      </c>
      <c r="M44" s="9">
        <v>1.03085714285714</v>
      </c>
    </row>
    <row r="45" spans="1:13" x14ac:dyDescent="0.25">
      <c r="A45" s="8">
        <v>1044</v>
      </c>
      <c r="B45" s="4" t="s">
        <v>33</v>
      </c>
      <c r="C45" s="4" t="s">
        <v>14</v>
      </c>
      <c r="D45" s="4" t="s">
        <v>15</v>
      </c>
      <c r="E45" s="4" t="s">
        <v>16</v>
      </c>
      <c r="F45" s="4" t="s">
        <v>21</v>
      </c>
      <c r="G45" s="4">
        <v>7</v>
      </c>
      <c r="H45" s="5">
        <v>20600</v>
      </c>
      <c r="I45" s="5">
        <v>144200</v>
      </c>
      <c r="J45" s="6">
        <v>0.1</v>
      </c>
      <c r="K45" s="5">
        <v>129780</v>
      </c>
      <c r="L45" s="5">
        <v>148000</v>
      </c>
      <c r="M45" s="10">
        <v>0.97432432432432403</v>
      </c>
    </row>
    <row r="46" spans="1:13" x14ac:dyDescent="0.25">
      <c r="A46" s="7">
        <v>1045</v>
      </c>
      <c r="B46" s="1" t="s">
        <v>33</v>
      </c>
      <c r="C46" s="1" t="s">
        <v>14</v>
      </c>
      <c r="D46" s="1" t="s">
        <v>15</v>
      </c>
      <c r="E46" s="1" t="s">
        <v>19</v>
      </c>
      <c r="F46" s="1" t="s">
        <v>22</v>
      </c>
      <c r="G46" s="1">
        <v>15</v>
      </c>
      <c r="H46" s="2">
        <v>4300</v>
      </c>
      <c r="I46" s="2">
        <v>64500</v>
      </c>
      <c r="J46" s="3">
        <v>0</v>
      </c>
      <c r="K46" s="2">
        <v>64500</v>
      </c>
      <c r="L46" s="2">
        <v>80000</v>
      </c>
      <c r="M46" s="9">
        <v>0.80625000000000002</v>
      </c>
    </row>
    <row r="47" spans="1:13" x14ac:dyDescent="0.25">
      <c r="A47" s="8">
        <v>1046</v>
      </c>
      <c r="B47" s="4" t="s">
        <v>33</v>
      </c>
      <c r="C47" s="4" t="s">
        <v>14</v>
      </c>
      <c r="D47" s="4" t="s">
        <v>23</v>
      </c>
      <c r="E47" s="4" t="s">
        <v>24</v>
      </c>
      <c r="F47" s="4" t="s">
        <v>17</v>
      </c>
      <c r="G47" s="4">
        <v>10</v>
      </c>
      <c r="H47" s="5">
        <v>69000</v>
      </c>
      <c r="I47" s="5">
        <v>690000</v>
      </c>
      <c r="J47" s="6">
        <v>0.1</v>
      </c>
      <c r="K47" s="5">
        <v>621000</v>
      </c>
      <c r="L47" s="5">
        <v>586000</v>
      </c>
      <c r="M47" s="10">
        <v>1.1774744027303801</v>
      </c>
    </row>
    <row r="48" spans="1:13" x14ac:dyDescent="0.25">
      <c r="A48" s="7">
        <v>1047</v>
      </c>
      <c r="B48" s="1" t="s">
        <v>33</v>
      </c>
      <c r="C48" s="1" t="s">
        <v>14</v>
      </c>
      <c r="D48" s="1" t="s">
        <v>23</v>
      </c>
      <c r="E48" s="1" t="s">
        <v>24</v>
      </c>
      <c r="F48" s="1" t="s">
        <v>18</v>
      </c>
      <c r="G48" s="1">
        <v>6</v>
      </c>
      <c r="H48" s="2">
        <v>34700</v>
      </c>
      <c r="I48" s="2">
        <v>208200</v>
      </c>
      <c r="J48" s="3">
        <v>0</v>
      </c>
      <c r="K48" s="2">
        <v>208200</v>
      </c>
      <c r="L48" s="2">
        <v>184000</v>
      </c>
      <c r="M48" s="9">
        <v>1.13152173913043</v>
      </c>
    </row>
    <row r="49" spans="1:13" x14ac:dyDescent="0.25">
      <c r="A49" s="8">
        <v>1048</v>
      </c>
      <c r="B49" s="4" t="s">
        <v>33</v>
      </c>
      <c r="C49" s="4" t="s">
        <v>14</v>
      </c>
      <c r="D49" s="4" t="s">
        <v>23</v>
      </c>
      <c r="E49" s="4" t="s">
        <v>25</v>
      </c>
      <c r="F49" s="4" t="s">
        <v>20</v>
      </c>
      <c r="G49" s="4">
        <v>23</v>
      </c>
      <c r="H49" s="5">
        <v>17000</v>
      </c>
      <c r="I49" s="5">
        <v>391000</v>
      </c>
      <c r="J49" s="6">
        <v>0.05</v>
      </c>
      <c r="K49" s="5">
        <v>371450</v>
      </c>
      <c r="L49" s="5">
        <v>489000</v>
      </c>
      <c r="M49" s="10">
        <v>0.79959100204499001</v>
      </c>
    </row>
    <row r="50" spans="1:13" x14ac:dyDescent="0.25">
      <c r="A50" s="7">
        <v>1049</v>
      </c>
      <c r="B50" s="1" t="s">
        <v>33</v>
      </c>
      <c r="C50" s="1" t="s">
        <v>14</v>
      </c>
      <c r="D50" s="1" t="s">
        <v>23</v>
      </c>
      <c r="E50" s="1" t="s">
        <v>24</v>
      </c>
      <c r="F50" s="1" t="s">
        <v>21</v>
      </c>
      <c r="G50" s="1">
        <v>10</v>
      </c>
      <c r="H50" s="2">
        <v>19800</v>
      </c>
      <c r="I50" s="2">
        <v>198000</v>
      </c>
      <c r="J50" s="3">
        <v>0.05</v>
      </c>
      <c r="K50" s="2">
        <v>188100</v>
      </c>
      <c r="L50" s="2">
        <v>185000</v>
      </c>
      <c r="M50" s="9">
        <v>1.07027027027027</v>
      </c>
    </row>
    <row r="51" spans="1:13" x14ac:dyDescent="0.25">
      <c r="A51" s="8">
        <v>1050</v>
      </c>
      <c r="B51" s="4" t="s">
        <v>33</v>
      </c>
      <c r="C51" s="4" t="s">
        <v>14</v>
      </c>
      <c r="D51" s="4" t="s">
        <v>23</v>
      </c>
      <c r="E51" s="4" t="s">
        <v>25</v>
      </c>
      <c r="F51" s="4" t="s">
        <v>22</v>
      </c>
      <c r="G51" s="4">
        <v>19</v>
      </c>
      <c r="H51" s="5">
        <v>4400</v>
      </c>
      <c r="I51" s="5">
        <v>83600</v>
      </c>
      <c r="J51" s="6">
        <v>0.15</v>
      </c>
      <c r="K51" s="5">
        <v>71060</v>
      </c>
      <c r="L51" s="5">
        <v>108000</v>
      </c>
      <c r="M51" s="10">
        <v>0.77407407407407403</v>
      </c>
    </row>
    <row r="52" spans="1:13" x14ac:dyDescent="0.25">
      <c r="A52" s="7">
        <v>1051</v>
      </c>
      <c r="B52" s="1" t="s">
        <v>33</v>
      </c>
      <c r="C52" s="1" t="s">
        <v>14</v>
      </c>
      <c r="D52" s="1" t="s">
        <v>26</v>
      </c>
      <c r="E52" s="1" t="s">
        <v>28</v>
      </c>
      <c r="F52" s="1" t="s">
        <v>17</v>
      </c>
      <c r="G52" s="1">
        <v>5</v>
      </c>
      <c r="H52" s="2">
        <v>61000</v>
      </c>
      <c r="I52" s="2">
        <v>305000</v>
      </c>
      <c r="J52" s="3">
        <v>0</v>
      </c>
      <c r="K52" s="2">
        <v>305000</v>
      </c>
      <c r="L52" s="2">
        <v>392000</v>
      </c>
      <c r="M52" s="9">
        <v>0.77806122448979598</v>
      </c>
    </row>
    <row r="53" spans="1:13" x14ac:dyDescent="0.25">
      <c r="A53" s="8">
        <v>1052</v>
      </c>
      <c r="B53" s="4" t="s">
        <v>33</v>
      </c>
      <c r="C53" s="4" t="s">
        <v>14</v>
      </c>
      <c r="D53" s="4" t="s">
        <v>26</v>
      </c>
      <c r="E53" s="4" t="s">
        <v>27</v>
      </c>
      <c r="F53" s="4" t="s">
        <v>18</v>
      </c>
      <c r="G53" s="4">
        <v>16</v>
      </c>
      <c r="H53" s="5">
        <v>30800</v>
      </c>
      <c r="I53" s="5">
        <v>492800</v>
      </c>
      <c r="J53" s="6">
        <v>0</v>
      </c>
      <c r="K53" s="5">
        <v>492800</v>
      </c>
      <c r="L53" s="5">
        <v>538000</v>
      </c>
      <c r="M53" s="10">
        <v>0.91598513011152405</v>
      </c>
    </row>
    <row r="54" spans="1:13" x14ac:dyDescent="0.25">
      <c r="A54" s="7">
        <v>1053</v>
      </c>
      <c r="B54" s="1" t="s">
        <v>33</v>
      </c>
      <c r="C54" s="1" t="s">
        <v>14</v>
      </c>
      <c r="D54" s="1" t="s">
        <v>26</v>
      </c>
      <c r="E54" s="1" t="s">
        <v>27</v>
      </c>
      <c r="F54" s="1" t="s">
        <v>20</v>
      </c>
      <c r="G54" s="1">
        <v>9</v>
      </c>
      <c r="H54" s="2">
        <v>19700</v>
      </c>
      <c r="I54" s="2">
        <v>177300</v>
      </c>
      <c r="J54" s="3">
        <v>0</v>
      </c>
      <c r="K54" s="2">
        <v>177300</v>
      </c>
      <c r="L54" s="2">
        <v>217000</v>
      </c>
      <c r="M54" s="9">
        <v>0.81705069124424001</v>
      </c>
    </row>
    <row r="55" spans="1:13" x14ac:dyDescent="0.25">
      <c r="A55" s="8">
        <v>1054</v>
      </c>
      <c r="B55" s="4" t="s">
        <v>33</v>
      </c>
      <c r="C55" s="4" t="s">
        <v>14</v>
      </c>
      <c r="D55" s="4" t="s">
        <v>26</v>
      </c>
      <c r="E55" s="4" t="s">
        <v>27</v>
      </c>
      <c r="F55" s="4" t="s">
        <v>21</v>
      </c>
      <c r="G55" s="4">
        <v>13</v>
      </c>
      <c r="H55" s="5">
        <v>20100</v>
      </c>
      <c r="I55" s="5">
        <v>261300</v>
      </c>
      <c r="J55" s="6">
        <v>0</v>
      </c>
      <c r="K55" s="5">
        <v>261300</v>
      </c>
      <c r="L55" s="5">
        <v>262000</v>
      </c>
      <c r="M55" s="10">
        <v>0.99732824427480904</v>
      </c>
    </row>
    <row r="56" spans="1:13" x14ac:dyDescent="0.25">
      <c r="A56" s="7">
        <v>1055</v>
      </c>
      <c r="B56" s="1" t="s">
        <v>33</v>
      </c>
      <c r="C56" s="1" t="s">
        <v>14</v>
      </c>
      <c r="D56" s="1" t="s">
        <v>26</v>
      </c>
      <c r="E56" s="1" t="s">
        <v>27</v>
      </c>
      <c r="F56" s="1" t="s">
        <v>22</v>
      </c>
      <c r="G56" s="1">
        <v>28</v>
      </c>
      <c r="H56" s="2">
        <v>4600</v>
      </c>
      <c r="I56" s="2">
        <v>128800</v>
      </c>
      <c r="J56" s="3">
        <v>0.1</v>
      </c>
      <c r="K56" s="2">
        <v>115920</v>
      </c>
      <c r="L56" s="2">
        <v>108000</v>
      </c>
      <c r="M56" s="9">
        <v>1.19259259259259</v>
      </c>
    </row>
    <row r="57" spans="1:13" x14ac:dyDescent="0.25">
      <c r="A57" s="8">
        <v>1056</v>
      </c>
      <c r="B57" s="4" t="s">
        <v>33</v>
      </c>
      <c r="C57" s="4" t="s">
        <v>14</v>
      </c>
      <c r="D57" s="4" t="s">
        <v>29</v>
      </c>
      <c r="E57" s="4" t="s">
        <v>31</v>
      </c>
      <c r="F57" s="4" t="s">
        <v>17</v>
      </c>
      <c r="G57" s="4">
        <v>7</v>
      </c>
      <c r="H57" s="5">
        <v>61200</v>
      </c>
      <c r="I57" s="5">
        <v>428400</v>
      </c>
      <c r="J57" s="6">
        <v>0.15</v>
      </c>
      <c r="K57" s="5">
        <v>364140</v>
      </c>
      <c r="L57" s="5">
        <v>410000</v>
      </c>
      <c r="M57" s="10">
        <v>1.0448780487804901</v>
      </c>
    </row>
    <row r="58" spans="1:13" x14ac:dyDescent="0.25">
      <c r="A58" s="7">
        <v>1057</v>
      </c>
      <c r="B58" s="1" t="s">
        <v>33</v>
      </c>
      <c r="C58" s="1" t="s">
        <v>14</v>
      </c>
      <c r="D58" s="1" t="s">
        <v>29</v>
      </c>
      <c r="E58" s="1" t="s">
        <v>31</v>
      </c>
      <c r="F58" s="1" t="s">
        <v>18</v>
      </c>
      <c r="G58" s="1">
        <v>11</v>
      </c>
      <c r="H58" s="2">
        <v>29600</v>
      </c>
      <c r="I58" s="2">
        <v>325600</v>
      </c>
      <c r="J58" s="3">
        <v>0.15</v>
      </c>
      <c r="K58" s="2">
        <v>276760</v>
      </c>
      <c r="L58" s="2">
        <v>309000</v>
      </c>
      <c r="M58" s="9">
        <v>1.0537216828478999</v>
      </c>
    </row>
    <row r="59" spans="1:13" x14ac:dyDescent="0.25">
      <c r="A59" s="8">
        <v>1058</v>
      </c>
      <c r="B59" s="4" t="s">
        <v>33</v>
      </c>
      <c r="C59" s="4" t="s">
        <v>14</v>
      </c>
      <c r="D59" s="4" t="s">
        <v>29</v>
      </c>
      <c r="E59" s="4" t="s">
        <v>31</v>
      </c>
      <c r="F59" s="4" t="s">
        <v>20</v>
      </c>
      <c r="G59" s="4">
        <v>10</v>
      </c>
      <c r="H59" s="5">
        <v>16200</v>
      </c>
      <c r="I59" s="5">
        <v>162000</v>
      </c>
      <c r="J59" s="6">
        <v>0.1</v>
      </c>
      <c r="K59" s="5">
        <v>145800</v>
      </c>
      <c r="L59" s="5">
        <v>210000</v>
      </c>
      <c r="M59" s="10">
        <v>0.77142857142857202</v>
      </c>
    </row>
    <row r="60" spans="1:13" x14ac:dyDescent="0.25">
      <c r="A60" s="7">
        <v>1059</v>
      </c>
      <c r="B60" s="1" t="s">
        <v>33</v>
      </c>
      <c r="C60" s="1" t="s">
        <v>14</v>
      </c>
      <c r="D60" s="1" t="s">
        <v>29</v>
      </c>
      <c r="E60" s="1" t="s">
        <v>30</v>
      </c>
      <c r="F60" s="1" t="s">
        <v>21</v>
      </c>
      <c r="G60" s="1">
        <v>5</v>
      </c>
      <c r="H60" s="2">
        <v>22200</v>
      </c>
      <c r="I60" s="2">
        <v>111000</v>
      </c>
      <c r="J60" s="3">
        <v>0.1</v>
      </c>
      <c r="K60" s="2">
        <v>99900</v>
      </c>
      <c r="L60" s="2">
        <v>104000</v>
      </c>
      <c r="M60" s="9">
        <v>1.0673076923076901</v>
      </c>
    </row>
    <row r="61" spans="1:13" x14ac:dyDescent="0.25">
      <c r="A61" s="8">
        <v>1060</v>
      </c>
      <c r="B61" s="4" t="s">
        <v>33</v>
      </c>
      <c r="C61" s="4" t="s">
        <v>14</v>
      </c>
      <c r="D61" s="4" t="s">
        <v>29</v>
      </c>
      <c r="E61" s="4" t="s">
        <v>31</v>
      </c>
      <c r="F61" s="4" t="s">
        <v>22</v>
      </c>
      <c r="G61" s="4">
        <v>38</v>
      </c>
      <c r="H61" s="5">
        <v>4100</v>
      </c>
      <c r="I61" s="5">
        <v>155800</v>
      </c>
      <c r="J61" s="6">
        <v>0</v>
      </c>
      <c r="K61" s="5">
        <v>155800</v>
      </c>
      <c r="L61" s="5">
        <v>153000</v>
      </c>
      <c r="M61" s="10">
        <v>1.0183006535947701</v>
      </c>
    </row>
    <row r="62" spans="1:13" x14ac:dyDescent="0.25">
      <c r="A62" s="7">
        <v>1061</v>
      </c>
      <c r="B62" s="1" t="s">
        <v>34</v>
      </c>
      <c r="C62" s="1" t="s">
        <v>35</v>
      </c>
      <c r="D62" s="1" t="s">
        <v>15</v>
      </c>
      <c r="E62" s="1" t="s">
        <v>16</v>
      </c>
      <c r="F62" s="1" t="s">
        <v>17</v>
      </c>
      <c r="G62" s="1">
        <v>10</v>
      </c>
      <c r="H62" s="2">
        <v>69300</v>
      </c>
      <c r="I62" s="2">
        <v>693000</v>
      </c>
      <c r="J62" s="3">
        <v>0.15</v>
      </c>
      <c r="K62" s="2">
        <v>589050</v>
      </c>
      <c r="L62" s="2">
        <v>659000</v>
      </c>
      <c r="M62" s="9">
        <v>1.0515933232170001</v>
      </c>
    </row>
    <row r="63" spans="1:13" x14ac:dyDescent="0.25">
      <c r="A63" s="8">
        <v>1062</v>
      </c>
      <c r="B63" s="4" t="s">
        <v>34</v>
      </c>
      <c r="C63" s="4" t="s">
        <v>35</v>
      </c>
      <c r="D63" s="4" t="s">
        <v>15</v>
      </c>
      <c r="E63" s="4" t="s">
        <v>16</v>
      </c>
      <c r="F63" s="4" t="s">
        <v>18</v>
      </c>
      <c r="G63" s="4">
        <v>15</v>
      </c>
      <c r="H63" s="5">
        <v>34000</v>
      </c>
      <c r="I63" s="5">
        <v>510000</v>
      </c>
      <c r="J63" s="6">
        <v>0.05</v>
      </c>
      <c r="K63" s="5">
        <v>484500</v>
      </c>
      <c r="L63" s="5">
        <v>646000</v>
      </c>
      <c r="M63" s="10">
        <v>0.78947368421052599</v>
      </c>
    </row>
    <row r="64" spans="1:13" x14ac:dyDescent="0.25">
      <c r="A64" s="7">
        <v>1063</v>
      </c>
      <c r="B64" s="1" t="s">
        <v>34</v>
      </c>
      <c r="C64" s="1" t="s">
        <v>35</v>
      </c>
      <c r="D64" s="1" t="s">
        <v>15</v>
      </c>
      <c r="E64" s="1" t="s">
        <v>16</v>
      </c>
      <c r="F64" s="1" t="s">
        <v>20</v>
      </c>
      <c r="G64" s="1">
        <v>12</v>
      </c>
      <c r="H64" s="2">
        <v>17200</v>
      </c>
      <c r="I64" s="2">
        <v>206400</v>
      </c>
      <c r="J64" s="3">
        <v>0</v>
      </c>
      <c r="K64" s="2">
        <v>206400</v>
      </c>
      <c r="L64" s="2">
        <v>242000</v>
      </c>
      <c r="M64" s="9">
        <v>0.85289256198347096</v>
      </c>
    </row>
    <row r="65" spans="1:13" x14ac:dyDescent="0.25">
      <c r="A65" s="8">
        <v>1064</v>
      </c>
      <c r="B65" s="4" t="s">
        <v>34</v>
      </c>
      <c r="C65" s="4" t="s">
        <v>35</v>
      </c>
      <c r="D65" s="4" t="s">
        <v>15</v>
      </c>
      <c r="E65" s="4" t="s">
        <v>16</v>
      </c>
      <c r="F65" s="4" t="s">
        <v>21</v>
      </c>
      <c r="G65" s="4">
        <v>8</v>
      </c>
      <c r="H65" s="5">
        <v>21000</v>
      </c>
      <c r="I65" s="5">
        <v>168000</v>
      </c>
      <c r="J65" s="6">
        <v>0</v>
      </c>
      <c r="K65" s="5">
        <v>168000</v>
      </c>
      <c r="L65" s="5">
        <v>195000</v>
      </c>
      <c r="M65" s="10">
        <v>0.86153846153846203</v>
      </c>
    </row>
    <row r="66" spans="1:13" x14ac:dyDescent="0.25">
      <c r="A66" s="7">
        <v>1065</v>
      </c>
      <c r="B66" s="1" t="s">
        <v>34</v>
      </c>
      <c r="C66" s="1" t="s">
        <v>35</v>
      </c>
      <c r="D66" s="1" t="s">
        <v>15</v>
      </c>
      <c r="E66" s="1" t="s">
        <v>16</v>
      </c>
      <c r="F66" s="1" t="s">
        <v>22</v>
      </c>
      <c r="G66" s="1">
        <v>31</v>
      </c>
      <c r="H66" s="2">
        <v>4600</v>
      </c>
      <c r="I66" s="2">
        <v>142600</v>
      </c>
      <c r="J66" s="3">
        <v>0.05</v>
      </c>
      <c r="K66" s="2">
        <v>135470</v>
      </c>
      <c r="L66" s="2">
        <v>150000</v>
      </c>
      <c r="M66" s="9">
        <v>0.95066666666666699</v>
      </c>
    </row>
    <row r="67" spans="1:13" x14ac:dyDescent="0.25">
      <c r="A67" s="8">
        <v>1066</v>
      </c>
      <c r="B67" s="4" t="s">
        <v>34</v>
      </c>
      <c r="C67" s="4" t="s">
        <v>35</v>
      </c>
      <c r="D67" s="4" t="s">
        <v>23</v>
      </c>
      <c r="E67" s="4" t="s">
        <v>25</v>
      </c>
      <c r="F67" s="4" t="s">
        <v>17</v>
      </c>
      <c r="G67" s="4">
        <v>3</v>
      </c>
      <c r="H67" s="5">
        <v>59700</v>
      </c>
      <c r="I67" s="5">
        <v>179100</v>
      </c>
      <c r="J67" s="6">
        <v>0.05</v>
      </c>
      <c r="K67" s="5">
        <v>170145</v>
      </c>
      <c r="L67" s="5">
        <v>218000</v>
      </c>
      <c r="M67" s="10">
        <v>0.821559633027523</v>
      </c>
    </row>
    <row r="68" spans="1:13" x14ac:dyDescent="0.25">
      <c r="A68" s="7">
        <v>1067</v>
      </c>
      <c r="B68" s="1" t="s">
        <v>34</v>
      </c>
      <c r="C68" s="1" t="s">
        <v>35</v>
      </c>
      <c r="D68" s="1" t="s">
        <v>23</v>
      </c>
      <c r="E68" s="1" t="s">
        <v>24</v>
      </c>
      <c r="F68" s="1" t="s">
        <v>18</v>
      </c>
      <c r="G68" s="1">
        <v>5</v>
      </c>
      <c r="H68" s="2">
        <v>30900</v>
      </c>
      <c r="I68" s="2">
        <v>154500</v>
      </c>
      <c r="J68" s="3">
        <v>0</v>
      </c>
      <c r="K68" s="2">
        <v>154500</v>
      </c>
      <c r="L68" s="2">
        <v>173000</v>
      </c>
      <c r="M68" s="9">
        <v>0.89306358381502904</v>
      </c>
    </row>
    <row r="69" spans="1:13" x14ac:dyDescent="0.25">
      <c r="A69" s="8">
        <v>1068</v>
      </c>
      <c r="B69" s="4" t="s">
        <v>34</v>
      </c>
      <c r="C69" s="4" t="s">
        <v>35</v>
      </c>
      <c r="D69" s="4" t="s">
        <v>23</v>
      </c>
      <c r="E69" s="4" t="s">
        <v>25</v>
      </c>
      <c r="F69" s="4" t="s">
        <v>20</v>
      </c>
      <c r="G69" s="4">
        <v>13</v>
      </c>
      <c r="H69" s="5">
        <v>18900</v>
      </c>
      <c r="I69" s="5">
        <v>245700</v>
      </c>
      <c r="J69" s="6">
        <v>0.1</v>
      </c>
      <c r="K69" s="5">
        <v>221130</v>
      </c>
      <c r="L69" s="5">
        <v>283000</v>
      </c>
      <c r="M69" s="10">
        <v>0.86819787985865704</v>
      </c>
    </row>
    <row r="70" spans="1:13" x14ac:dyDescent="0.25">
      <c r="A70" s="7">
        <v>1069</v>
      </c>
      <c r="B70" s="1" t="s">
        <v>34</v>
      </c>
      <c r="C70" s="1" t="s">
        <v>35</v>
      </c>
      <c r="D70" s="1" t="s">
        <v>23</v>
      </c>
      <c r="E70" s="1" t="s">
        <v>24</v>
      </c>
      <c r="F70" s="1" t="s">
        <v>21</v>
      </c>
      <c r="G70" s="1">
        <v>5</v>
      </c>
      <c r="H70" s="2">
        <v>20100</v>
      </c>
      <c r="I70" s="2">
        <v>100500</v>
      </c>
      <c r="J70" s="3">
        <v>0.15</v>
      </c>
      <c r="K70" s="2">
        <v>85425</v>
      </c>
      <c r="L70" s="2">
        <v>126000</v>
      </c>
      <c r="M70" s="9">
        <v>0.797619047619048</v>
      </c>
    </row>
    <row r="71" spans="1:13" x14ac:dyDescent="0.25">
      <c r="A71" s="8">
        <v>1070</v>
      </c>
      <c r="B71" s="4" t="s">
        <v>34</v>
      </c>
      <c r="C71" s="4" t="s">
        <v>35</v>
      </c>
      <c r="D71" s="4" t="s">
        <v>23</v>
      </c>
      <c r="E71" s="4" t="s">
        <v>24</v>
      </c>
      <c r="F71" s="4" t="s">
        <v>22</v>
      </c>
      <c r="G71" s="4">
        <v>36</v>
      </c>
      <c r="H71" s="5">
        <v>4400</v>
      </c>
      <c r="I71" s="5">
        <v>158400</v>
      </c>
      <c r="J71" s="6">
        <v>0.1</v>
      </c>
      <c r="K71" s="5">
        <v>142560</v>
      </c>
      <c r="L71" s="5">
        <v>138000</v>
      </c>
      <c r="M71" s="10">
        <v>1.14782608695652</v>
      </c>
    </row>
    <row r="72" spans="1:13" x14ac:dyDescent="0.25">
      <c r="A72" s="7">
        <v>1071</v>
      </c>
      <c r="B72" s="1" t="s">
        <v>34</v>
      </c>
      <c r="C72" s="1" t="s">
        <v>35</v>
      </c>
      <c r="D72" s="1" t="s">
        <v>26</v>
      </c>
      <c r="E72" s="1" t="s">
        <v>27</v>
      </c>
      <c r="F72" s="1" t="s">
        <v>17</v>
      </c>
      <c r="G72" s="1">
        <v>3</v>
      </c>
      <c r="H72" s="2">
        <v>62500</v>
      </c>
      <c r="I72" s="2">
        <v>187500</v>
      </c>
      <c r="J72" s="3">
        <v>0</v>
      </c>
      <c r="K72" s="2">
        <v>187500</v>
      </c>
      <c r="L72" s="2">
        <v>234000</v>
      </c>
      <c r="M72" s="9">
        <v>0.80128205128205099</v>
      </c>
    </row>
    <row r="73" spans="1:13" x14ac:dyDescent="0.25">
      <c r="A73" s="8">
        <v>1072</v>
      </c>
      <c r="B73" s="4" t="s">
        <v>34</v>
      </c>
      <c r="C73" s="4" t="s">
        <v>35</v>
      </c>
      <c r="D73" s="4" t="s">
        <v>26</v>
      </c>
      <c r="E73" s="4" t="s">
        <v>27</v>
      </c>
      <c r="F73" s="4" t="s">
        <v>18</v>
      </c>
      <c r="G73" s="4">
        <v>15</v>
      </c>
      <c r="H73" s="5">
        <v>30400</v>
      </c>
      <c r="I73" s="5">
        <v>456000</v>
      </c>
      <c r="J73" s="6">
        <v>0</v>
      </c>
      <c r="K73" s="5">
        <v>456000</v>
      </c>
      <c r="L73" s="5">
        <v>445000</v>
      </c>
      <c r="M73" s="10">
        <v>1.0247191011236001</v>
      </c>
    </row>
    <row r="74" spans="1:13" x14ac:dyDescent="0.25">
      <c r="A74" s="7">
        <v>1073</v>
      </c>
      <c r="B74" s="1" t="s">
        <v>34</v>
      </c>
      <c r="C74" s="1" t="s">
        <v>35</v>
      </c>
      <c r="D74" s="1" t="s">
        <v>26</v>
      </c>
      <c r="E74" s="1" t="s">
        <v>28</v>
      </c>
      <c r="F74" s="1" t="s">
        <v>20</v>
      </c>
      <c r="G74" s="1">
        <v>12</v>
      </c>
      <c r="H74" s="2">
        <v>19500</v>
      </c>
      <c r="I74" s="2">
        <v>234000</v>
      </c>
      <c r="J74" s="3">
        <v>0</v>
      </c>
      <c r="K74" s="2">
        <v>234000</v>
      </c>
      <c r="L74" s="2">
        <v>288000</v>
      </c>
      <c r="M74" s="9">
        <v>0.8125</v>
      </c>
    </row>
    <row r="75" spans="1:13" x14ac:dyDescent="0.25">
      <c r="A75" s="8">
        <v>1074</v>
      </c>
      <c r="B75" s="4" t="s">
        <v>34</v>
      </c>
      <c r="C75" s="4" t="s">
        <v>35</v>
      </c>
      <c r="D75" s="4" t="s">
        <v>26</v>
      </c>
      <c r="E75" s="4" t="s">
        <v>27</v>
      </c>
      <c r="F75" s="4" t="s">
        <v>21</v>
      </c>
      <c r="G75" s="4">
        <v>10</v>
      </c>
      <c r="H75" s="5">
        <v>19900</v>
      </c>
      <c r="I75" s="5">
        <v>199000</v>
      </c>
      <c r="J75" s="6">
        <v>0.15</v>
      </c>
      <c r="K75" s="5">
        <v>169150</v>
      </c>
      <c r="L75" s="5">
        <v>251000</v>
      </c>
      <c r="M75" s="10">
        <v>0.79282868525896399</v>
      </c>
    </row>
    <row r="76" spans="1:13" x14ac:dyDescent="0.25">
      <c r="A76" s="7">
        <v>1075</v>
      </c>
      <c r="B76" s="1" t="s">
        <v>34</v>
      </c>
      <c r="C76" s="1" t="s">
        <v>35</v>
      </c>
      <c r="D76" s="1" t="s">
        <v>26</v>
      </c>
      <c r="E76" s="1" t="s">
        <v>28</v>
      </c>
      <c r="F76" s="1" t="s">
        <v>22</v>
      </c>
      <c r="G76" s="1">
        <v>35</v>
      </c>
      <c r="H76" s="2">
        <v>4700</v>
      </c>
      <c r="I76" s="2">
        <v>164500</v>
      </c>
      <c r="J76" s="3">
        <v>0.15</v>
      </c>
      <c r="K76" s="2">
        <v>139825</v>
      </c>
      <c r="L76" s="2">
        <v>198000</v>
      </c>
      <c r="M76" s="9">
        <v>0.830808080808081</v>
      </c>
    </row>
    <row r="77" spans="1:13" x14ac:dyDescent="0.25">
      <c r="A77" s="8">
        <v>1076</v>
      </c>
      <c r="B77" s="4" t="s">
        <v>34</v>
      </c>
      <c r="C77" s="4" t="s">
        <v>35</v>
      </c>
      <c r="D77" s="4" t="s">
        <v>29</v>
      </c>
      <c r="E77" s="4" t="s">
        <v>31</v>
      </c>
      <c r="F77" s="4" t="s">
        <v>17</v>
      </c>
      <c r="G77" s="4">
        <v>5</v>
      </c>
      <c r="H77" s="5">
        <v>68700</v>
      </c>
      <c r="I77" s="5">
        <v>343500</v>
      </c>
      <c r="J77" s="6">
        <v>0</v>
      </c>
      <c r="K77" s="5">
        <v>343500</v>
      </c>
      <c r="L77" s="5">
        <v>341000</v>
      </c>
      <c r="M77" s="10">
        <v>1.00733137829912</v>
      </c>
    </row>
    <row r="78" spans="1:13" x14ac:dyDescent="0.25">
      <c r="A78" s="7">
        <v>1077</v>
      </c>
      <c r="B78" s="1" t="s">
        <v>34</v>
      </c>
      <c r="C78" s="1" t="s">
        <v>35</v>
      </c>
      <c r="D78" s="1" t="s">
        <v>29</v>
      </c>
      <c r="E78" s="1" t="s">
        <v>30</v>
      </c>
      <c r="F78" s="1" t="s">
        <v>18</v>
      </c>
      <c r="G78" s="1">
        <v>18</v>
      </c>
      <c r="H78" s="2">
        <v>31800</v>
      </c>
      <c r="I78" s="2">
        <v>572400</v>
      </c>
      <c r="J78" s="3">
        <v>0</v>
      </c>
      <c r="K78" s="2">
        <v>572400</v>
      </c>
      <c r="L78" s="2">
        <v>692000</v>
      </c>
      <c r="M78" s="9">
        <v>0.82716763005780403</v>
      </c>
    </row>
    <row r="79" spans="1:13" x14ac:dyDescent="0.25">
      <c r="A79" s="8">
        <v>1078</v>
      </c>
      <c r="B79" s="4" t="s">
        <v>34</v>
      </c>
      <c r="C79" s="4" t="s">
        <v>35</v>
      </c>
      <c r="D79" s="4" t="s">
        <v>29</v>
      </c>
      <c r="E79" s="4" t="s">
        <v>31</v>
      </c>
      <c r="F79" s="4" t="s">
        <v>20</v>
      </c>
      <c r="G79" s="4">
        <v>19</v>
      </c>
      <c r="H79" s="5">
        <v>17300</v>
      </c>
      <c r="I79" s="5">
        <v>328700</v>
      </c>
      <c r="J79" s="6">
        <v>0</v>
      </c>
      <c r="K79" s="5">
        <v>328700</v>
      </c>
      <c r="L79" s="5">
        <v>300000</v>
      </c>
      <c r="M79" s="10">
        <v>1.0956666666666699</v>
      </c>
    </row>
    <row r="80" spans="1:13" x14ac:dyDescent="0.25">
      <c r="A80" s="7">
        <v>1079</v>
      </c>
      <c r="B80" s="1" t="s">
        <v>34</v>
      </c>
      <c r="C80" s="1" t="s">
        <v>35</v>
      </c>
      <c r="D80" s="1" t="s">
        <v>29</v>
      </c>
      <c r="E80" s="1" t="s">
        <v>30</v>
      </c>
      <c r="F80" s="1" t="s">
        <v>21</v>
      </c>
      <c r="G80" s="1">
        <v>10</v>
      </c>
      <c r="H80" s="2">
        <v>21200</v>
      </c>
      <c r="I80" s="2">
        <v>212000</v>
      </c>
      <c r="J80" s="3">
        <v>0</v>
      </c>
      <c r="K80" s="2">
        <v>212000</v>
      </c>
      <c r="L80" s="2">
        <v>272000</v>
      </c>
      <c r="M80" s="9">
        <v>0.77941176470588203</v>
      </c>
    </row>
    <row r="81" spans="1:13" x14ac:dyDescent="0.25">
      <c r="A81" s="8">
        <v>1080</v>
      </c>
      <c r="B81" s="4" t="s">
        <v>34</v>
      </c>
      <c r="C81" s="4" t="s">
        <v>35</v>
      </c>
      <c r="D81" s="4" t="s">
        <v>29</v>
      </c>
      <c r="E81" s="4" t="s">
        <v>31</v>
      </c>
      <c r="F81" s="4" t="s">
        <v>22</v>
      </c>
      <c r="G81" s="4">
        <v>21</v>
      </c>
      <c r="H81" s="5">
        <v>4600</v>
      </c>
      <c r="I81" s="5">
        <v>96600</v>
      </c>
      <c r="J81" s="6">
        <v>0.05</v>
      </c>
      <c r="K81" s="5">
        <v>91770</v>
      </c>
      <c r="L81" s="5">
        <v>110000</v>
      </c>
      <c r="M81" s="10">
        <v>0.87818181818181795</v>
      </c>
    </row>
    <row r="82" spans="1:13" x14ac:dyDescent="0.25">
      <c r="A82" s="7">
        <v>1081</v>
      </c>
      <c r="B82" s="1" t="s">
        <v>36</v>
      </c>
      <c r="C82" s="1" t="s">
        <v>35</v>
      </c>
      <c r="D82" s="1" t="s">
        <v>15</v>
      </c>
      <c r="E82" s="1" t="s">
        <v>19</v>
      </c>
      <c r="F82" s="1" t="s">
        <v>17</v>
      </c>
      <c r="G82" s="1">
        <v>3</v>
      </c>
      <c r="H82" s="2">
        <v>60000</v>
      </c>
      <c r="I82" s="2">
        <v>180000</v>
      </c>
      <c r="J82" s="3">
        <v>0.05</v>
      </c>
      <c r="K82" s="2">
        <v>171000</v>
      </c>
      <c r="L82" s="2">
        <v>160000</v>
      </c>
      <c r="M82" s="9">
        <v>1.125</v>
      </c>
    </row>
    <row r="83" spans="1:13" x14ac:dyDescent="0.25">
      <c r="A83" s="8">
        <v>1082</v>
      </c>
      <c r="B83" s="4" t="s">
        <v>36</v>
      </c>
      <c r="C83" s="4" t="s">
        <v>35</v>
      </c>
      <c r="D83" s="4" t="s">
        <v>15</v>
      </c>
      <c r="E83" s="4" t="s">
        <v>19</v>
      </c>
      <c r="F83" s="4" t="s">
        <v>18</v>
      </c>
      <c r="G83" s="4">
        <v>5</v>
      </c>
      <c r="H83" s="5">
        <v>29500</v>
      </c>
      <c r="I83" s="5">
        <v>147500</v>
      </c>
      <c r="J83" s="6">
        <v>0.05</v>
      </c>
      <c r="K83" s="5">
        <v>140125</v>
      </c>
      <c r="L83" s="5">
        <v>143000</v>
      </c>
      <c r="M83" s="10">
        <v>1.0314685314685299</v>
      </c>
    </row>
    <row r="84" spans="1:13" x14ac:dyDescent="0.25">
      <c r="A84" s="7">
        <v>1083</v>
      </c>
      <c r="B84" s="1" t="s">
        <v>36</v>
      </c>
      <c r="C84" s="1" t="s">
        <v>35</v>
      </c>
      <c r="D84" s="1" t="s">
        <v>15</v>
      </c>
      <c r="E84" s="1" t="s">
        <v>19</v>
      </c>
      <c r="F84" s="1" t="s">
        <v>20</v>
      </c>
      <c r="G84" s="1">
        <v>21</v>
      </c>
      <c r="H84" s="2">
        <v>18400</v>
      </c>
      <c r="I84" s="2">
        <v>386400</v>
      </c>
      <c r="J84" s="3">
        <v>0.1</v>
      </c>
      <c r="K84" s="2">
        <v>347760</v>
      </c>
      <c r="L84" s="2">
        <v>331000</v>
      </c>
      <c r="M84" s="9">
        <v>1.1673716012084601</v>
      </c>
    </row>
    <row r="85" spans="1:13" x14ac:dyDescent="0.25">
      <c r="A85" s="8">
        <v>1084</v>
      </c>
      <c r="B85" s="4" t="s">
        <v>36</v>
      </c>
      <c r="C85" s="4" t="s">
        <v>35</v>
      </c>
      <c r="D85" s="4" t="s">
        <v>15</v>
      </c>
      <c r="E85" s="4" t="s">
        <v>16</v>
      </c>
      <c r="F85" s="4" t="s">
        <v>21</v>
      </c>
      <c r="G85" s="4">
        <v>8</v>
      </c>
      <c r="H85" s="5">
        <v>20000</v>
      </c>
      <c r="I85" s="5">
        <v>160000</v>
      </c>
      <c r="J85" s="6">
        <v>0.05</v>
      </c>
      <c r="K85" s="5">
        <v>152000</v>
      </c>
      <c r="L85" s="5">
        <v>128000</v>
      </c>
      <c r="M85" s="10">
        <v>1.25</v>
      </c>
    </row>
    <row r="86" spans="1:13" x14ac:dyDescent="0.25">
      <c r="A86" s="7">
        <v>1085</v>
      </c>
      <c r="B86" s="1" t="s">
        <v>36</v>
      </c>
      <c r="C86" s="1" t="s">
        <v>35</v>
      </c>
      <c r="D86" s="1" t="s">
        <v>15</v>
      </c>
      <c r="E86" s="1" t="s">
        <v>16</v>
      </c>
      <c r="F86" s="1" t="s">
        <v>22</v>
      </c>
      <c r="G86" s="1">
        <v>21</v>
      </c>
      <c r="H86" s="2">
        <v>4400</v>
      </c>
      <c r="I86" s="2">
        <v>92400</v>
      </c>
      <c r="J86" s="3">
        <v>0.15</v>
      </c>
      <c r="K86" s="2">
        <v>78540</v>
      </c>
      <c r="L86" s="2">
        <v>116000</v>
      </c>
      <c r="M86" s="9">
        <v>0.79655172413793096</v>
      </c>
    </row>
    <row r="87" spans="1:13" x14ac:dyDescent="0.25">
      <c r="A87" s="8">
        <v>1086</v>
      </c>
      <c r="B87" s="4" t="s">
        <v>36</v>
      </c>
      <c r="C87" s="4" t="s">
        <v>35</v>
      </c>
      <c r="D87" s="4" t="s">
        <v>23</v>
      </c>
      <c r="E87" s="4" t="s">
        <v>25</v>
      </c>
      <c r="F87" s="4" t="s">
        <v>17</v>
      </c>
      <c r="G87" s="4">
        <v>4</v>
      </c>
      <c r="H87" s="5">
        <v>67900</v>
      </c>
      <c r="I87" s="5">
        <v>271600</v>
      </c>
      <c r="J87" s="6">
        <v>0.05</v>
      </c>
      <c r="K87" s="5">
        <v>258020</v>
      </c>
      <c r="L87" s="5">
        <v>286000</v>
      </c>
      <c r="M87" s="10">
        <v>0.94965034965035</v>
      </c>
    </row>
    <row r="88" spans="1:13" x14ac:dyDescent="0.25">
      <c r="A88" s="7">
        <v>1087</v>
      </c>
      <c r="B88" s="1" t="s">
        <v>36</v>
      </c>
      <c r="C88" s="1" t="s">
        <v>35</v>
      </c>
      <c r="D88" s="1" t="s">
        <v>23</v>
      </c>
      <c r="E88" s="1" t="s">
        <v>25</v>
      </c>
      <c r="F88" s="1" t="s">
        <v>18</v>
      </c>
      <c r="G88" s="1">
        <v>10</v>
      </c>
      <c r="H88" s="2">
        <v>31400</v>
      </c>
      <c r="I88" s="2">
        <v>314000</v>
      </c>
      <c r="J88" s="3">
        <v>0.05</v>
      </c>
      <c r="K88" s="2">
        <v>298300</v>
      </c>
      <c r="L88" s="2">
        <v>338000</v>
      </c>
      <c r="M88" s="9">
        <v>0.92899408284023699</v>
      </c>
    </row>
    <row r="89" spans="1:13" x14ac:dyDescent="0.25">
      <c r="A89" s="8">
        <v>1088</v>
      </c>
      <c r="B89" s="4" t="s">
        <v>36</v>
      </c>
      <c r="C89" s="4" t="s">
        <v>35</v>
      </c>
      <c r="D89" s="4" t="s">
        <v>23</v>
      </c>
      <c r="E89" s="4" t="s">
        <v>24</v>
      </c>
      <c r="F89" s="4" t="s">
        <v>20</v>
      </c>
      <c r="G89" s="4">
        <v>21</v>
      </c>
      <c r="H89" s="5">
        <v>18600</v>
      </c>
      <c r="I89" s="5">
        <v>390600</v>
      </c>
      <c r="J89" s="6">
        <v>0.05</v>
      </c>
      <c r="K89" s="5">
        <v>371070</v>
      </c>
      <c r="L89" s="5">
        <v>445000</v>
      </c>
      <c r="M89" s="10">
        <v>0.87775280898876396</v>
      </c>
    </row>
    <row r="90" spans="1:13" x14ac:dyDescent="0.25">
      <c r="A90" s="7">
        <v>1089</v>
      </c>
      <c r="B90" s="1" t="s">
        <v>36</v>
      </c>
      <c r="C90" s="1" t="s">
        <v>35</v>
      </c>
      <c r="D90" s="1" t="s">
        <v>23</v>
      </c>
      <c r="E90" s="1" t="s">
        <v>24</v>
      </c>
      <c r="F90" s="1" t="s">
        <v>21</v>
      </c>
      <c r="G90" s="1">
        <v>13</v>
      </c>
      <c r="H90" s="2">
        <v>22300</v>
      </c>
      <c r="I90" s="2">
        <v>289900</v>
      </c>
      <c r="J90" s="3">
        <v>0.05</v>
      </c>
      <c r="K90" s="2">
        <v>275405</v>
      </c>
      <c r="L90" s="2">
        <v>311000</v>
      </c>
      <c r="M90" s="9">
        <v>0.93215434083601301</v>
      </c>
    </row>
    <row r="91" spans="1:13" x14ac:dyDescent="0.25">
      <c r="A91" s="8">
        <v>1090</v>
      </c>
      <c r="B91" s="4" t="s">
        <v>36</v>
      </c>
      <c r="C91" s="4" t="s">
        <v>35</v>
      </c>
      <c r="D91" s="4" t="s">
        <v>23</v>
      </c>
      <c r="E91" s="4" t="s">
        <v>24</v>
      </c>
      <c r="F91" s="4" t="s">
        <v>22</v>
      </c>
      <c r="G91" s="4">
        <v>19</v>
      </c>
      <c r="H91" s="5">
        <v>4300</v>
      </c>
      <c r="I91" s="5">
        <v>81700</v>
      </c>
      <c r="J91" s="6">
        <v>0.05</v>
      </c>
      <c r="K91" s="5">
        <v>77615</v>
      </c>
      <c r="L91" s="5">
        <v>97000</v>
      </c>
      <c r="M91" s="10">
        <v>0.84226804123711296</v>
      </c>
    </row>
    <row r="92" spans="1:13" x14ac:dyDescent="0.25">
      <c r="A92" s="7">
        <v>1091</v>
      </c>
      <c r="B92" s="1" t="s">
        <v>36</v>
      </c>
      <c r="C92" s="1" t="s">
        <v>35</v>
      </c>
      <c r="D92" s="1" t="s">
        <v>26</v>
      </c>
      <c r="E92" s="1" t="s">
        <v>28</v>
      </c>
      <c r="F92" s="1" t="s">
        <v>17</v>
      </c>
      <c r="G92" s="1">
        <v>10</v>
      </c>
      <c r="H92" s="2">
        <v>64200</v>
      </c>
      <c r="I92" s="2">
        <v>642000</v>
      </c>
      <c r="J92" s="3">
        <v>0.15</v>
      </c>
      <c r="K92" s="2">
        <v>545700</v>
      </c>
      <c r="L92" s="2">
        <v>582000</v>
      </c>
      <c r="M92" s="9">
        <v>1.1030927835051501</v>
      </c>
    </row>
    <row r="93" spans="1:13" x14ac:dyDescent="0.25">
      <c r="A93" s="8">
        <v>1092</v>
      </c>
      <c r="B93" s="4" t="s">
        <v>36</v>
      </c>
      <c r="C93" s="4" t="s">
        <v>35</v>
      </c>
      <c r="D93" s="4" t="s">
        <v>26</v>
      </c>
      <c r="E93" s="4" t="s">
        <v>28</v>
      </c>
      <c r="F93" s="4" t="s">
        <v>18</v>
      </c>
      <c r="G93" s="4">
        <v>17</v>
      </c>
      <c r="H93" s="5">
        <v>34600</v>
      </c>
      <c r="I93" s="5">
        <v>588200</v>
      </c>
      <c r="J93" s="6">
        <v>0.15</v>
      </c>
      <c r="K93" s="5">
        <v>499970</v>
      </c>
      <c r="L93" s="5">
        <v>520000</v>
      </c>
      <c r="M93" s="10">
        <v>1.13115384615385</v>
      </c>
    </row>
    <row r="94" spans="1:13" x14ac:dyDescent="0.25">
      <c r="A94" s="7">
        <v>1093</v>
      </c>
      <c r="B94" s="1" t="s">
        <v>36</v>
      </c>
      <c r="C94" s="1" t="s">
        <v>35</v>
      </c>
      <c r="D94" s="1" t="s">
        <v>26</v>
      </c>
      <c r="E94" s="1" t="s">
        <v>27</v>
      </c>
      <c r="F94" s="1" t="s">
        <v>20</v>
      </c>
      <c r="G94" s="1">
        <v>17</v>
      </c>
      <c r="H94" s="2">
        <v>18100</v>
      </c>
      <c r="I94" s="2">
        <v>307700</v>
      </c>
      <c r="J94" s="3">
        <v>0.15</v>
      </c>
      <c r="K94" s="2">
        <v>261545</v>
      </c>
      <c r="L94" s="2">
        <v>341000</v>
      </c>
      <c r="M94" s="9">
        <v>0.90234604105571903</v>
      </c>
    </row>
    <row r="95" spans="1:13" x14ac:dyDescent="0.25">
      <c r="A95" s="8">
        <v>1094</v>
      </c>
      <c r="B95" s="4" t="s">
        <v>36</v>
      </c>
      <c r="C95" s="4" t="s">
        <v>35</v>
      </c>
      <c r="D95" s="4" t="s">
        <v>26</v>
      </c>
      <c r="E95" s="4" t="s">
        <v>27</v>
      </c>
      <c r="F95" s="4" t="s">
        <v>21</v>
      </c>
      <c r="G95" s="4">
        <v>7</v>
      </c>
      <c r="H95" s="5">
        <v>22800</v>
      </c>
      <c r="I95" s="5">
        <v>159600</v>
      </c>
      <c r="J95" s="6">
        <v>0</v>
      </c>
      <c r="K95" s="5">
        <v>159600</v>
      </c>
      <c r="L95" s="5">
        <v>192000</v>
      </c>
      <c r="M95" s="10">
        <v>0.83125000000000004</v>
      </c>
    </row>
    <row r="96" spans="1:13" x14ac:dyDescent="0.25">
      <c r="A96" s="7">
        <v>1095</v>
      </c>
      <c r="B96" s="1" t="s">
        <v>36</v>
      </c>
      <c r="C96" s="1" t="s">
        <v>35</v>
      </c>
      <c r="D96" s="1" t="s">
        <v>26</v>
      </c>
      <c r="E96" s="1" t="s">
        <v>27</v>
      </c>
      <c r="F96" s="1" t="s">
        <v>22</v>
      </c>
      <c r="G96" s="1">
        <v>10</v>
      </c>
      <c r="H96" s="2">
        <v>4100</v>
      </c>
      <c r="I96" s="2">
        <v>41000</v>
      </c>
      <c r="J96" s="3">
        <v>0.05</v>
      </c>
      <c r="K96" s="2">
        <v>38950</v>
      </c>
      <c r="L96" s="2">
        <v>45000</v>
      </c>
      <c r="M96" s="9">
        <v>0.91111111111111098</v>
      </c>
    </row>
    <row r="97" spans="1:13" x14ac:dyDescent="0.25">
      <c r="A97" s="8">
        <v>1096</v>
      </c>
      <c r="B97" s="4" t="s">
        <v>36</v>
      </c>
      <c r="C97" s="4" t="s">
        <v>35</v>
      </c>
      <c r="D97" s="4" t="s">
        <v>29</v>
      </c>
      <c r="E97" s="4" t="s">
        <v>30</v>
      </c>
      <c r="F97" s="4" t="s">
        <v>17</v>
      </c>
      <c r="G97" s="4">
        <v>10</v>
      </c>
      <c r="H97" s="5">
        <v>63900</v>
      </c>
      <c r="I97" s="5">
        <v>639000</v>
      </c>
      <c r="J97" s="6">
        <v>0.15</v>
      </c>
      <c r="K97" s="5">
        <v>543150</v>
      </c>
      <c r="L97" s="5">
        <v>695000</v>
      </c>
      <c r="M97" s="10">
        <v>0.91942446043165504</v>
      </c>
    </row>
    <row r="98" spans="1:13" x14ac:dyDescent="0.25">
      <c r="A98" s="7">
        <v>1097</v>
      </c>
      <c r="B98" s="1" t="s">
        <v>36</v>
      </c>
      <c r="C98" s="1" t="s">
        <v>35</v>
      </c>
      <c r="D98" s="1" t="s">
        <v>29</v>
      </c>
      <c r="E98" s="1" t="s">
        <v>31</v>
      </c>
      <c r="F98" s="1" t="s">
        <v>18</v>
      </c>
      <c r="G98" s="1">
        <v>12</v>
      </c>
      <c r="H98" s="2">
        <v>31400</v>
      </c>
      <c r="I98" s="2">
        <v>376800</v>
      </c>
      <c r="J98" s="3">
        <v>0</v>
      </c>
      <c r="K98" s="2">
        <v>376800</v>
      </c>
      <c r="L98" s="2">
        <v>425000</v>
      </c>
      <c r="M98" s="9">
        <v>0.88658823529411801</v>
      </c>
    </row>
    <row r="99" spans="1:13" x14ac:dyDescent="0.25">
      <c r="A99" s="8">
        <v>1098</v>
      </c>
      <c r="B99" s="4" t="s">
        <v>36</v>
      </c>
      <c r="C99" s="4" t="s">
        <v>35</v>
      </c>
      <c r="D99" s="4" t="s">
        <v>29</v>
      </c>
      <c r="E99" s="4" t="s">
        <v>30</v>
      </c>
      <c r="F99" s="4" t="s">
        <v>20</v>
      </c>
      <c r="G99" s="4">
        <v>11</v>
      </c>
      <c r="H99" s="5">
        <v>19000</v>
      </c>
      <c r="I99" s="5">
        <v>209000</v>
      </c>
      <c r="J99" s="6">
        <v>0</v>
      </c>
      <c r="K99" s="5">
        <v>209000</v>
      </c>
      <c r="L99" s="5">
        <v>186000</v>
      </c>
      <c r="M99" s="10">
        <v>1.1236559139784901</v>
      </c>
    </row>
    <row r="100" spans="1:13" x14ac:dyDescent="0.25">
      <c r="A100" s="7">
        <v>1099</v>
      </c>
      <c r="B100" s="1" t="s">
        <v>36</v>
      </c>
      <c r="C100" s="1" t="s">
        <v>35</v>
      </c>
      <c r="D100" s="1" t="s">
        <v>29</v>
      </c>
      <c r="E100" s="1" t="s">
        <v>31</v>
      </c>
      <c r="F100" s="1" t="s">
        <v>21</v>
      </c>
      <c r="G100" s="1">
        <v>4</v>
      </c>
      <c r="H100" s="2">
        <v>22300</v>
      </c>
      <c r="I100" s="2">
        <v>89200</v>
      </c>
      <c r="J100" s="3">
        <v>0</v>
      </c>
      <c r="K100" s="2">
        <v>89200</v>
      </c>
      <c r="L100" s="2">
        <v>92000</v>
      </c>
      <c r="M100" s="9">
        <v>0.96956521739130397</v>
      </c>
    </row>
    <row r="101" spans="1:13" x14ac:dyDescent="0.25">
      <c r="A101" s="8">
        <v>1100</v>
      </c>
      <c r="B101" s="4" t="s">
        <v>36</v>
      </c>
      <c r="C101" s="4" t="s">
        <v>35</v>
      </c>
      <c r="D101" s="4" t="s">
        <v>29</v>
      </c>
      <c r="E101" s="4" t="s">
        <v>31</v>
      </c>
      <c r="F101" s="4" t="s">
        <v>22</v>
      </c>
      <c r="G101" s="4">
        <v>31</v>
      </c>
      <c r="H101" s="5">
        <v>4500</v>
      </c>
      <c r="I101" s="5">
        <v>139500</v>
      </c>
      <c r="J101" s="6">
        <v>0.1</v>
      </c>
      <c r="K101" s="5">
        <v>125550</v>
      </c>
      <c r="L101" s="5">
        <v>153000</v>
      </c>
      <c r="M101" s="10">
        <v>0.91176470588235303</v>
      </c>
    </row>
    <row r="102" spans="1:13" x14ac:dyDescent="0.25">
      <c r="A102" s="7">
        <v>1101</v>
      </c>
      <c r="B102" s="1" t="s">
        <v>37</v>
      </c>
      <c r="C102" s="1" t="s">
        <v>35</v>
      </c>
      <c r="D102" s="1" t="s">
        <v>15</v>
      </c>
      <c r="E102" s="1" t="s">
        <v>19</v>
      </c>
      <c r="F102" s="1" t="s">
        <v>17</v>
      </c>
      <c r="G102" s="1">
        <v>12</v>
      </c>
      <c r="H102" s="2">
        <v>69100</v>
      </c>
      <c r="I102" s="2">
        <v>829200</v>
      </c>
      <c r="J102" s="3">
        <v>0.1</v>
      </c>
      <c r="K102" s="2">
        <v>746280</v>
      </c>
      <c r="L102" s="2">
        <v>840000</v>
      </c>
      <c r="M102" s="9">
        <v>0.98714285714285699</v>
      </c>
    </row>
    <row r="103" spans="1:13" x14ac:dyDescent="0.25">
      <c r="A103" s="8">
        <v>1102</v>
      </c>
      <c r="B103" s="4" t="s">
        <v>37</v>
      </c>
      <c r="C103" s="4" t="s">
        <v>35</v>
      </c>
      <c r="D103" s="4" t="s">
        <v>15</v>
      </c>
      <c r="E103" s="4" t="s">
        <v>19</v>
      </c>
      <c r="F103" s="4" t="s">
        <v>18</v>
      </c>
      <c r="G103" s="4">
        <v>7</v>
      </c>
      <c r="H103" s="5">
        <v>33600</v>
      </c>
      <c r="I103" s="5">
        <v>235200</v>
      </c>
      <c r="J103" s="6">
        <v>0.05</v>
      </c>
      <c r="K103" s="5">
        <v>223440</v>
      </c>
      <c r="L103" s="5">
        <v>241000</v>
      </c>
      <c r="M103" s="10">
        <v>0.97593360995850598</v>
      </c>
    </row>
    <row r="104" spans="1:13" x14ac:dyDescent="0.25">
      <c r="A104" s="7">
        <v>1103</v>
      </c>
      <c r="B104" s="1" t="s">
        <v>37</v>
      </c>
      <c r="C104" s="1" t="s">
        <v>35</v>
      </c>
      <c r="D104" s="1" t="s">
        <v>15</v>
      </c>
      <c r="E104" s="1" t="s">
        <v>16</v>
      </c>
      <c r="F104" s="1" t="s">
        <v>20</v>
      </c>
      <c r="G104" s="1">
        <v>16</v>
      </c>
      <c r="H104" s="2">
        <v>19000</v>
      </c>
      <c r="I104" s="2">
        <v>304000</v>
      </c>
      <c r="J104" s="3">
        <v>0.1</v>
      </c>
      <c r="K104" s="2">
        <v>273600</v>
      </c>
      <c r="L104" s="2">
        <v>317000</v>
      </c>
      <c r="M104" s="9">
        <v>0.958990536277603</v>
      </c>
    </row>
    <row r="105" spans="1:13" x14ac:dyDescent="0.25">
      <c r="A105" s="8">
        <v>1104</v>
      </c>
      <c r="B105" s="4" t="s">
        <v>37</v>
      </c>
      <c r="C105" s="4" t="s">
        <v>35</v>
      </c>
      <c r="D105" s="4" t="s">
        <v>15</v>
      </c>
      <c r="E105" s="4" t="s">
        <v>16</v>
      </c>
      <c r="F105" s="4" t="s">
        <v>21</v>
      </c>
      <c r="G105" s="4">
        <v>8</v>
      </c>
      <c r="H105" s="5">
        <v>21700</v>
      </c>
      <c r="I105" s="5">
        <v>173600</v>
      </c>
      <c r="J105" s="6">
        <v>0.15</v>
      </c>
      <c r="K105" s="5">
        <v>147560</v>
      </c>
      <c r="L105" s="5">
        <v>164000</v>
      </c>
      <c r="M105" s="10">
        <v>1.0585365853658499</v>
      </c>
    </row>
    <row r="106" spans="1:13" x14ac:dyDescent="0.25">
      <c r="A106" s="7">
        <v>1105</v>
      </c>
      <c r="B106" s="1" t="s">
        <v>37</v>
      </c>
      <c r="C106" s="1" t="s">
        <v>35</v>
      </c>
      <c r="D106" s="1" t="s">
        <v>15</v>
      </c>
      <c r="E106" s="1" t="s">
        <v>19</v>
      </c>
      <c r="F106" s="1" t="s">
        <v>22</v>
      </c>
      <c r="G106" s="1">
        <v>20</v>
      </c>
      <c r="H106" s="2">
        <v>4300</v>
      </c>
      <c r="I106" s="2">
        <v>86000</v>
      </c>
      <c r="J106" s="3">
        <v>0.1</v>
      </c>
      <c r="K106" s="2">
        <v>77400</v>
      </c>
      <c r="L106" s="2">
        <v>72000</v>
      </c>
      <c r="M106" s="9">
        <v>1.19444444444444</v>
      </c>
    </row>
    <row r="107" spans="1:13" x14ac:dyDescent="0.25">
      <c r="A107" s="8">
        <v>1106</v>
      </c>
      <c r="B107" s="4" t="s">
        <v>37</v>
      </c>
      <c r="C107" s="4" t="s">
        <v>35</v>
      </c>
      <c r="D107" s="4" t="s">
        <v>23</v>
      </c>
      <c r="E107" s="4" t="s">
        <v>24</v>
      </c>
      <c r="F107" s="4" t="s">
        <v>17</v>
      </c>
      <c r="G107" s="4">
        <v>6</v>
      </c>
      <c r="H107" s="5">
        <v>63500</v>
      </c>
      <c r="I107" s="5">
        <v>381000</v>
      </c>
      <c r="J107" s="6">
        <v>0</v>
      </c>
      <c r="K107" s="5">
        <v>381000</v>
      </c>
      <c r="L107" s="5">
        <v>439000</v>
      </c>
      <c r="M107" s="10">
        <v>0.86788154897494296</v>
      </c>
    </row>
    <row r="108" spans="1:13" x14ac:dyDescent="0.25">
      <c r="A108" s="7">
        <v>1107</v>
      </c>
      <c r="B108" s="1" t="s">
        <v>37</v>
      </c>
      <c r="C108" s="1" t="s">
        <v>35</v>
      </c>
      <c r="D108" s="1" t="s">
        <v>23</v>
      </c>
      <c r="E108" s="1" t="s">
        <v>24</v>
      </c>
      <c r="F108" s="1" t="s">
        <v>18</v>
      </c>
      <c r="G108" s="1">
        <v>11</v>
      </c>
      <c r="H108" s="2">
        <v>31400</v>
      </c>
      <c r="I108" s="2">
        <v>345400</v>
      </c>
      <c r="J108" s="3">
        <v>0.1</v>
      </c>
      <c r="K108" s="2">
        <v>310860</v>
      </c>
      <c r="L108" s="2">
        <v>357000</v>
      </c>
      <c r="M108" s="9">
        <v>0.96750700280112101</v>
      </c>
    </row>
    <row r="109" spans="1:13" x14ac:dyDescent="0.25">
      <c r="A109" s="8">
        <v>1108</v>
      </c>
      <c r="B109" s="4" t="s">
        <v>37</v>
      </c>
      <c r="C109" s="4" t="s">
        <v>35</v>
      </c>
      <c r="D109" s="4" t="s">
        <v>23</v>
      </c>
      <c r="E109" s="4" t="s">
        <v>24</v>
      </c>
      <c r="F109" s="4" t="s">
        <v>20</v>
      </c>
      <c r="G109" s="4">
        <v>14</v>
      </c>
      <c r="H109" s="5">
        <v>19200</v>
      </c>
      <c r="I109" s="5">
        <v>268800</v>
      </c>
      <c r="J109" s="6">
        <v>0.05</v>
      </c>
      <c r="K109" s="5">
        <v>255360</v>
      </c>
      <c r="L109" s="5">
        <v>337000</v>
      </c>
      <c r="M109" s="10">
        <v>0.79762611275964401</v>
      </c>
    </row>
    <row r="110" spans="1:13" x14ac:dyDescent="0.25">
      <c r="A110" s="7">
        <v>1109</v>
      </c>
      <c r="B110" s="1" t="s">
        <v>37</v>
      </c>
      <c r="C110" s="1" t="s">
        <v>35</v>
      </c>
      <c r="D110" s="1" t="s">
        <v>23</v>
      </c>
      <c r="E110" s="1" t="s">
        <v>24</v>
      </c>
      <c r="F110" s="1" t="s">
        <v>21</v>
      </c>
      <c r="G110" s="1">
        <v>13</v>
      </c>
      <c r="H110" s="2">
        <v>21500</v>
      </c>
      <c r="I110" s="2">
        <v>279500</v>
      </c>
      <c r="J110" s="3">
        <v>0</v>
      </c>
      <c r="K110" s="2">
        <v>279500</v>
      </c>
      <c r="L110" s="2">
        <v>355000</v>
      </c>
      <c r="M110" s="9">
        <v>0.787323943661972</v>
      </c>
    </row>
    <row r="111" spans="1:13" x14ac:dyDescent="0.25">
      <c r="A111" s="8">
        <v>1110</v>
      </c>
      <c r="B111" s="4" t="s">
        <v>37</v>
      </c>
      <c r="C111" s="4" t="s">
        <v>35</v>
      </c>
      <c r="D111" s="4" t="s">
        <v>23</v>
      </c>
      <c r="E111" s="4" t="s">
        <v>25</v>
      </c>
      <c r="F111" s="4" t="s">
        <v>22</v>
      </c>
      <c r="G111" s="4">
        <v>34</v>
      </c>
      <c r="H111" s="5">
        <v>4400</v>
      </c>
      <c r="I111" s="5">
        <v>149600</v>
      </c>
      <c r="J111" s="6">
        <v>0.05</v>
      </c>
      <c r="K111" s="5">
        <v>142120</v>
      </c>
      <c r="L111" s="5">
        <v>160000</v>
      </c>
      <c r="M111" s="10">
        <v>0.93500000000000005</v>
      </c>
    </row>
    <row r="112" spans="1:13" x14ac:dyDescent="0.25">
      <c r="A112" s="7">
        <v>1111</v>
      </c>
      <c r="B112" s="1" t="s">
        <v>37</v>
      </c>
      <c r="C112" s="1" t="s">
        <v>35</v>
      </c>
      <c r="D112" s="1" t="s">
        <v>26</v>
      </c>
      <c r="E112" s="1" t="s">
        <v>27</v>
      </c>
      <c r="F112" s="1" t="s">
        <v>17</v>
      </c>
      <c r="G112" s="1">
        <v>10</v>
      </c>
      <c r="H112" s="2">
        <v>61400</v>
      </c>
      <c r="I112" s="2">
        <v>614000</v>
      </c>
      <c r="J112" s="3">
        <v>0.05</v>
      </c>
      <c r="K112" s="2">
        <v>583300</v>
      </c>
      <c r="L112" s="2">
        <v>640000</v>
      </c>
      <c r="M112" s="9">
        <v>0.95937499999999998</v>
      </c>
    </row>
    <row r="113" spans="1:13" x14ac:dyDescent="0.25">
      <c r="A113" s="8">
        <v>1112</v>
      </c>
      <c r="B113" s="4" t="s">
        <v>37</v>
      </c>
      <c r="C113" s="4" t="s">
        <v>35</v>
      </c>
      <c r="D113" s="4" t="s">
        <v>26</v>
      </c>
      <c r="E113" s="4" t="s">
        <v>28</v>
      </c>
      <c r="F113" s="4" t="s">
        <v>18</v>
      </c>
      <c r="G113" s="4">
        <v>10</v>
      </c>
      <c r="H113" s="5">
        <v>33100</v>
      </c>
      <c r="I113" s="5">
        <v>331000</v>
      </c>
      <c r="J113" s="6">
        <v>0.05</v>
      </c>
      <c r="K113" s="5">
        <v>314450</v>
      </c>
      <c r="L113" s="5">
        <v>385000</v>
      </c>
      <c r="M113" s="10">
        <v>0.85974025974026003</v>
      </c>
    </row>
    <row r="114" spans="1:13" x14ac:dyDescent="0.25">
      <c r="A114" s="7">
        <v>1113</v>
      </c>
      <c r="B114" s="1" t="s">
        <v>37</v>
      </c>
      <c r="C114" s="1" t="s">
        <v>35</v>
      </c>
      <c r="D114" s="1" t="s">
        <v>26</v>
      </c>
      <c r="E114" s="1" t="s">
        <v>28</v>
      </c>
      <c r="F114" s="1" t="s">
        <v>20</v>
      </c>
      <c r="G114" s="1">
        <v>12</v>
      </c>
      <c r="H114" s="2">
        <v>19700</v>
      </c>
      <c r="I114" s="2">
        <v>236400</v>
      </c>
      <c r="J114" s="3">
        <v>0.1</v>
      </c>
      <c r="K114" s="2">
        <v>212760</v>
      </c>
      <c r="L114" s="2">
        <v>192000</v>
      </c>
      <c r="M114" s="9">
        <v>1.23125</v>
      </c>
    </row>
    <row r="115" spans="1:13" x14ac:dyDescent="0.25">
      <c r="A115" s="8">
        <v>1114</v>
      </c>
      <c r="B115" s="4" t="s">
        <v>37</v>
      </c>
      <c r="C115" s="4" t="s">
        <v>35</v>
      </c>
      <c r="D115" s="4" t="s">
        <v>26</v>
      </c>
      <c r="E115" s="4" t="s">
        <v>28</v>
      </c>
      <c r="F115" s="4" t="s">
        <v>21</v>
      </c>
      <c r="G115" s="4">
        <v>13</v>
      </c>
      <c r="H115" s="5">
        <v>22300</v>
      </c>
      <c r="I115" s="5">
        <v>289900</v>
      </c>
      <c r="J115" s="6">
        <v>0</v>
      </c>
      <c r="K115" s="5">
        <v>289900</v>
      </c>
      <c r="L115" s="5">
        <v>244000</v>
      </c>
      <c r="M115" s="10">
        <v>1.1881147540983601</v>
      </c>
    </row>
    <row r="116" spans="1:13" x14ac:dyDescent="0.25">
      <c r="A116" s="7">
        <v>1115</v>
      </c>
      <c r="B116" s="1" t="s">
        <v>37</v>
      </c>
      <c r="C116" s="1" t="s">
        <v>35</v>
      </c>
      <c r="D116" s="1" t="s">
        <v>26</v>
      </c>
      <c r="E116" s="1" t="s">
        <v>28</v>
      </c>
      <c r="F116" s="1" t="s">
        <v>22</v>
      </c>
      <c r="G116" s="1">
        <v>14</v>
      </c>
      <c r="H116" s="2">
        <v>4800</v>
      </c>
      <c r="I116" s="2">
        <v>67200</v>
      </c>
      <c r="J116" s="3">
        <v>0</v>
      </c>
      <c r="K116" s="2">
        <v>67200</v>
      </c>
      <c r="L116" s="2">
        <v>55000</v>
      </c>
      <c r="M116" s="9">
        <v>1.2218181818181799</v>
      </c>
    </row>
    <row r="117" spans="1:13" x14ac:dyDescent="0.25">
      <c r="A117" s="8">
        <v>1116</v>
      </c>
      <c r="B117" s="4" t="s">
        <v>37</v>
      </c>
      <c r="C117" s="4" t="s">
        <v>35</v>
      </c>
      <c r="D117" s="4" t="s">
        <v>29</v>
      </c>
      <c r="E117" s="4" t="s">
        <v>31</v>
      </c>
      <c r="F117" s="4" t="s">
        <v>17</v>
      </c>
      <c r="G117" s="4">
        <v>8</v>
      </c>
      <c r="H117" s="5">
        <v>61300</v>
      </c>
      <c r="I117" s="5">
        <v>490400</v>
      </c>
      <c r="J117" s="6">
        <v>0.05</v>
      </c>
      <c r="K117" s="5">
        <v>465880</v>
      </c>
      <c r="L117" s="5">
        <v>475000</v>
      </c>
      <c r="M117" s="10">
        <v>1.03242105263158</v>
      </c>
    </row>
    <row r="118" spans="1:13" x14ac:dyDescent="0.25">
      <c r="A118" s="7">
        <v>1117</v>
      </c>
      <c r="B118" s="1" t="s">
        <v>37</v>
      </c>
      <c r="C118" s="1" t="s">
        <v>35</v>
      </c>
      <c r="D118" s="1" t="s">
        <v>29</v>
      </c>
      <c r="E118" s="1" t="s">
        <v>31</v>
      </c>
      <c r="F118" s="1" t="s">
        <v>18</v>
      </c>
      <c r="G118" s="1">
        <v>9</v>
      </c>
      <c r="H118" s="2">
        <v>33600</v>
      </c>
      <c r="I118" s="2">
        <v>302400</v>
      </c>
      <c r="J118" s="3">
        <v>0.05</v>
      </c>
      <c r="K118" s="2">
        <v>287280</v>
      </c>
      <c r="L118" s="2">
        <v>280000</v>
      </c>
      <c r="M118" s="9">
        <v>1.08</v>
      </c>
    </row>
    <row r="119" spans="1:13" x14ac:dyDescent="0.25">
      <c r="A119" s="8">
        <v>1118</v>
      </c>
      <c r="B119" s="4" t="s">
        <v>37</v>
      </c>
      <c r="C119" s="4" t="s">
        <v>35</v>
      </c>
      <c r="D119" s="4" t="s">
        <v>29</v>
      </c>
      <c r="E119" s="4" t="s">
        <v>30</v>
      </c>
      <c r="F119" s="4" t="s">
        <v>20</v>
      </c>
      <c r="G119" s="4">
        <v>23</v>
      </c>
      <c r="H119" s="5">
        <v>16300</v>
      </c>
      <c r="I119" s="5">
        <v>374900</v>
      </c>
      <c r="J119" s="6">
        <v>0.1</v>
      </c>
      <c r="K119" s="5">
        <v>337410</v>
      </c>
      <c r="L119" s="5">
        <v>310000</v>
      </c>
      <c r="M119" s="10">
        <v>1.20935483870968</v>
      </c>
    </row>
    <row r="120" spans="1:13" x14ac:dyDescent="0.25">
      <c r="A120" s="7">
        <v>1119</v>
      </c>
      <c r="B120" s="1" t="s">
        <v>37</v>
      </c>
      <c r="C120" s="1" t="s">
        <v>35</v>
      </c>
      <c r="D120" s="1" t="s">
        <v>29</v>
      </c>
      <c r="E120" s="1" t="s">
        <v>31</v>
      </c>
      <c r="F120" s="1" t="s">
        <v>21</v>
      </c>
      <c r="G120" s="1">
        <v>7</v>
      </c>
      <c r="H120" s="2">
        <v>22700</v>
      </c>
      <c r="I120" s="2">
        <v>158900</v>
      </c>
      <c r="J120" s="3">
        <v>0.15</v>
      </c>
      <c r="K120" s="2">
        <v>135065</v>
      </c>
      <c r="L120" s="2">
        <v>130000</v>
      </c>
      <c r="M120" s="9">
        <v>1.2223076923076901</v>
      </c>
    </row>
    <row r="121" spans="1:13" x14ac:dyDescent="0.25">
      <c r="A121" s="8">
        <v>1120</v>
      </c>
      <c r="B121" s="4" t="s">
        <v>37</v>
      </c>
      <c r="C121" s="4" t="s">
        <v>35</v>
      </c>
      <c r="D121" s="4" t="s">
        <v>29</v>
      </c>
      <c r="E121" s="4" t="s">
        <v>30</v>
      </c>
      <c r="F121" s="4" t="s">
        <v>22</v>
      </c>
      <c r="G121" s="4">
        <v>40</v>
      </c>
      <c r="H121" s="5">
        <v>4300</v>
      </c>
      <c r="I121" s="5">
        <v>172000</v>
      </c>
      <c r="J121" s="6">
        <v>0</v>
      </c>
      <c r="K121" s="5">
        <v>172000</v>
      </c>
      <c r="L121" s="5">
        <v>191000</v>
      </c>
      <c r="M121" s="10">
        <v>0.90052356020942403</v>
      </c>
    </row>
    <row r="122" spans="1:13" x14ac:dyDescent="0.25">
      <c r="A122" s="7">
        <v>1121</v>
      </c>
      <c r="B122" s="1" t="s">
        <v>38</v>
      </c>
      <c r="C122" s="1" t="s">
        <v>39</v>
      </c>
      <c r="D122" s="1" t="s">
        <v>15</v>
      </c>
      <c r="E122" s="1" t="s">
        <v>16</v>
      </c>
      <c r="F122" s="1" t="s">
        <v>17</v>
      </c>
      <c r="G122" s="1">
        <v>5</v>
      </c>
      <c r="H122" s="2">
        <v>64700</v>
      </c>
      <c r="I122" s="2">
        <v>323500</v>
      </c>
      <c r="J122" s="3">
        <v>0</v>
      </c>
      <c r="K122" s="2">
        <v>323500</v>
      </c>
      <c r="L122" s="2">
        <v>350000</v>
      </c>
      <c r="M122" s="9">
        <v>0.92428571428571404</v>
      </c>
    </row>
    <row r="123" spans="1:13" x14ac:dyDescent="0.25">
      <c r="A123" s="8">
        <v>1122</v>
      </c>
      <c r="B123" s="4" t="s">
        <v>38</v>
      </c>
      <c r="C123" s="4" t="s">
        <v>39</v>
      </c>
      <c r="D123" s="4" t="s">
        <v>15</v>
      </c>
      <c r="E123" s="4" t="s">
        <v>16</v>
      </c>
      <c r="F123" s="4" t="s">
        <v>18</v>
      </c>
      <c r="G123" s="4">
        <v>12</v>
      </c>
      <c r="H123" s="5">
        <v>33300</v>
      </c>
      <c r="I123" s="5">
        <v>399600</v>
      </c>
      <c r="J123" s="6">
        <v>0.05</v>
      </c>
      <c r="K123" s="5">
        <v>379620</v>
      </c>
      <c r="L123" s="5">
        <v>353000</v>
      </c>
      <c r="M123" s="10">
        <v>1.13201133144476</v>
      </c>
    </row>
    <row r="124" spans="1:13" x14ac:dyDescent="0.25">
      <c r="A124" s="7">
        <v>1123</v>
      </c>
      <c r="B124" s="1" t="s">
        <v>38</v>
      </c>
      <c r="C124" s="1" t="s">
        <v>39</v>
      </c>
      <c r="D124" s="1" t="s">
        <v>15</v>
      </c>
      <c r="E124" s="1" t="s">
        <v>16</v>
      </c>
      <c r="F124" s="1" t="s">
        <v>20</v>
      </c>
      <c r="G124" s="1">
        <v>13</v>
      </c>
      <c r="H124" s="2">
        <v>19700</v>
      </c>
      <c r="I124" s="2">
        <v>256100</v>
      </c>
      <c r="J124" s="3">
        <v>0</v>
      </c>
      <c r="K124" s="2">
        <v>256100</v>
      </c>
      <c r="L124" s="2">
        <v>279000</v>
      </c>
      <c r="M124" s="9">
        <v>0.91792114695340499</v>
      </c>
    </row>
    <row r="125" spans="1:13" x14ac:dyDescent="0.25">
      <c r="A125" s="8">
        <v>1124</v>
      </c>
      <c r="B125" s="4" t="s">
        <v>38</v>
      </c>
      <c r="C125" s="4" t="s">
        <v>39</v>
      </c>
      <c r="D125" s="4" t="s">
        <v>15</v>
      </c>
      <c r="E125" s="4" t="s">
        <v>19</v>
      </c>
      <c r="F125" s="4" t="s">
        <v>21</v>
      </c>
      <c r="G125" s="4">
        <v>13</v>
      </c>
      <c r="H125" s="5">
        <v>22800</v>
      </c>
      <c r="I125" s="5">
        <v>296400</v>
      </c>
      <c r="J125" s="6">
        <v>0.05</v>
      </c>
      <c r="K125" s="5">
        <v>281580</v>
      </c>
      <c r="L125" s="5">
        <v>296000</v>
      </c>
      <c r="M125" s="10">
        <v>1.0013513513513499</v>
      </c>
    </row>
    <row r="126" spans="1:13" x14ac:dyDescent="0.25">
      <c r="A126" s="7">
        <v>1125</v>
      </c>
      <c r="B126" s="1" t="s">
        <v>38</v>
      </c>
      <c r="C126" s="1" t="s">
        <v>39</v>
      </c>
      <c r="D126" s="1" t="s">
        <v>15</v>
      </c>
      <c r="E126" s="1" t="s">
        <v>16</v>
      </c>
      <c r="F126" s="1" t="s">
        <v>22</v>
      </c>
      <c r="G126" s="1">
        <v>12</v>
      </c>
      <c r="H126" s="2">
        <v>4600</v>
      </c>
      <c r="I126" s="2">
        <v>55200</v>
      </c>
      <c r="J126" s="3">
        <v>0.15</v>
      </c>
      <c r="K126" s="2">
        <v>46920</v>
      </c>
      <c r="L126" s="2">
        <v>51000</v>
      </c>
      <c r="M126" s="9">
        <v>1.0823529411764701</v>
      </c>
    </row>
    <row r="127" spans="1:13" x14ac:dyDescent="0.25">
      <c r="A127" s="8">
        <v>1126</v>
      </c>
      <c r="B127" s="4" t="s">
        <v>38</v>
      </c>
      <c r="C127" s="4" t="s">
        <v>39</v>
      </c>
      <c r="D127" s="4" t="s">
        <v>23</v>
      </c>
      <c r="E127" s="4" t="s">
        <v>25</v>
      </c>
      <c r="F127" s="4" t="s">
        <v>17</v>
      </c>
      <c r="G127" s="4">
        <v>12</v>
      </c>
      <c r="H127" s="5">
        <v>69000</v>
      </c>
      <c r="I127" s="5">
        <v>828000</v>
      </c>
      <c r="J127" s="6">
        <v>0.1</v>
      </c>
      <c r="K127" s="5">
        <v>745200</v>
      </c>
      <c r="L127" s="5">
        <v>986000</v>
      </c>
      <c r="M127" s="10">
        <v>0.83975659229208899</v>
      </c>
    </row>
    <row r="128" spans="1:13" x14ac:dyDescent="0.25">
      <c r="A128" s="7">
        <v>1127</v>
      </c>
      <c r="B128" s="1" t="s">
        <v>38</v>
      </c>
      <c r="C128" s="1" t="s">
        <v>39</v>
      </c>
      <c r="D128" s="1" t="s">
        <v>23</v>
      </c>
      <c r="E128" s="1" t="s">
        <v>25</v>
      </c>
      <c r="F128" s="1" t="s">
        <v>18</v>
      </c>
      <c r="G128" s="1">
        <v>13</v>
      </c>
      <c r="H128" s="2">
        <v>31500</v>
      </c>
      <c r="I128" s="2">
        <v>409500</v>
      </c>
      <c r="J128" s="3">
        <v>0.05</v>
      </c>
      <c r="K128" s="2">
        <v>389025</v>
      </c>
      <c r="L128" s="2">
        <v>342000</v>
      </c>
      <c r="M128" s="9">
        <v>1.1973684210526301</v>
      </c>
    </row>
    <row r="129" spans="1:13" x14ac:dyDescent="0.25">
      <c r="A129" s="8">
        <v>1128</v>
      </c>
      <c r="B129" s="4" t="s">
        <v>38</v>
      </c>
      <c r="C129" s="4" t="s">
        <v>39</v>
      </c>
      <c r="D129" s="4" t="s">
        <v>23</v>
      </c>
      <c r="E129" s="4" t="s">
        <v>25</v>
      </c>
      <c r="F129" s="4" t="s">
        <v>20</v>
      </c>
      <c r="G129" s="4">
        <v>8</v>
      </c>
      <c r="H129" s="5">
        <v>19300</v>
      </c>
      <c r="I129" s="5">
        <v>154400</v>
      </c>
      <c r="J129" s="6">
        <v>0.05</v>
      </c>
      <c r="K129" s="5">
        <v>146680</v>
      </c>
      <c r="L129" s="5">
        <v>132000</v>
      </c>
      <c r="M129" s="10">
        <v>1.1696969696969699</v>
      </c>
    </row>
    <row r="130" spans="1:13" x14ac:dyDescent="0.25">
      <c r="A130" s="7">
        <v>1129</v>
      </c>
      <c r="B130" s="1" t="s">
        <v>38</v>
      </c>
      <c r="C130" s="1" t="s">
        <v>39</v>
      </c>
      <c r="D130" s="1" t="s">
        <v>23</v>
      </c>
      <c r="E130" s="1" t="s">
        <v>25</v>
      </c>
      <c r="F130" s="1" t="s">
        <v>21</v>
      </c>
      <c r="G130" s="1">
        <v>14</v>
      </c>
      <c r="H130" s="2">
        <v>23700</v>
      </c>
      <c r="I130" s="2">
        <v>331800</v>
      </c>
      <c r="J130" s="3">
        <v>0.05</v>
      </c>
      <c r="K130" s="2">
        <v>315210</v>
      </c>
      <c r="L130" s="2">
        <v>383000</v>
      </c>
      <c r="M130" s="9">
        <v>0.86631853785900803</v>
      </c>
    </row>
    <row r="131" spans="1:13" x14ac:dyDescent="0.25">
      <c r="A131" s="8">
        <v>1130</v>
      </c>
      <c r="B131" s="4" t="s">
        <v>38</v>
      </c>
      <c r="C131" s="4" t="s">
        <v>39</v>
      </c>
      <c r="D131" s="4" t="s">
        <v>23</v>
      </c>
      <c r="E131" s="4" t="s">
        <v>25</v>
      </c>
      <c r="F131" s="4" t="s">
        <v>22</v>
      </c>
      <c r="G131" s="4">
        <v>15</v>
      </c>
      <c r="H131" s="5">
        <v>4700</v>
      </c>
      <c r="I131" s="5">
        <v>70500</v>
      </c>
      <c r="J131" s="6">
        <v>0.15</v>
      </c>
      <c r="K131" s="5">
        <v>59925</v>
      </c>
      <c r="L131" s="5">
        <v>66000</v>
      </c>
      <c r="M131" s="10">
        <v>1.0681818181818199</v>
      </c>
    </row>
    <row r="132" spans="1:13" x14ac:dyDescent="0.25">
      <c r="A132" s="7">
        <v>1131</v>
      </c>
      <c r="B132" s="1" t="s">
        <v>38</v>
      </c>
      <c r="C132" s="1" t="s">
        <v>39</v>
      </c>
      <c r="D132" s="1" t="s">
        <v>26</v>
      </c>
      <c r="E132" s="1" t="s">
        <v>28</v>
      </c>
      <c r="F132" s="1" t="s">
        <v>17</v>
      </c>
      <c r="G132" s="1">
        <v>10</v>
      </c>
      <c r="H132" s="2">
        <v>64200</v>
      </c>
      <c r="I132" s="2">
        <v>642000</v>
      </c>
      <c r="J132" s="3">
        <v>0.15</v>
      </c>
      <c r="K132" s="2">
        <v>545700</v>
      </c>
      <c r="L132" s="2">
        <v>704000</v>
      </c>
      <c r="M132" s="9">
        <v>0.91193181818181801</v>
      </c>
    </row>
    <row r="133" spans="1:13" x14ac:dyDescent="0.25">
      <c r="A133" s="8">
        <v>1132</v>
      </c>
      <c r="B133" s="4" t="s">
        <v>38</v>
      </c>
      <c r="C133" s="4" t="s">
        <v>39</v>
      </c>
      <c r="D133" s="4" t="s">
        <v>26</v>
      </c>
      <c r="E133" s="4" t="s">
        <v>28</v>
      </c>
      <c r="F133" s="4" t="s">
        <v>18</v>
      </c>
      <c r="G133" s="4">
        <v>18</v>
      </c>
      <c r="H133" s="5">
        <v>30400</v>
      </c>
      <c r="I133" s="5">
        <v>547200</v>
      </c>
      <c r="J133" s="6">
        <v>0</v>
      </c>
      <c r="K133" s="5">
        <v>547200</v>
      </c>
      <c r="L133" s="5">
        <v>514000</v>
      </c>
      <c r="M133" s="10">
        <v>1.0645914396887199</v>
      </c>
    </row>
    <row r="134" spans="1:13" x14ac:dyDescent="0.25">
      <c r="A134" s="7">
        <v>1133</v>
      </c>
      <c r="B134" s="1" t="s">
        <v>38</v>
      </c>
      <c r="C134" s="1" t="s">
        <v>39</v>
      </c>
      <c r="D134" s="1" t="s">
        <v>26</v>
      </c>
      <c r="E134" s="1" t="s">
        <v>28</v>
      </c>
      <c r="F134" s="1" t="s">
        <v>20</v>
      </c>
      <c r="G134" s="1">
        <v>15</v>
      </c>
      <c r="H134" s="2">
        <v>18900</v>
      </c>
      <c r="I134" s="2">
        <v>283500</v>
      </c>
      <c r="J134" s="3">
        <v>0.1</v>
      </c>
      <c r="K134" s="2">
        <v>255150</v>
      </c>
      <c r="L134" s="2">
        <v>313000</v>
      </c>
      <c r="M134" s="9">
        <v>0.905750798722045</v>
      </c>
    </row>
    <row r="135" spans="1:13" x14ac:dyDescent="0.25">
      <c r="A135" s="8">
        <v>1134</v>
      </c>
      <c r="B135" s="4" t="s">
        <v>38</v>
      </c>
      <c r="C135" s="4" t="s">
        <v>39</v>
      </c>
      <c r="D135" s="4" t="s">
        <v>26</v>
      </c>
      <c r="E135" s="4" t="s">
        <v>28</v>
      </c>
      <c r="F135" s="4" t="s">
        <v>21</v>
      </c>
      <c r="G135" s="4">
        <v>9</v>
      </c>
      <c r="H135" s="5">
        <v>19900</v>
      </c>
      <c r="I135" s="5">
        <v>179100</v>
      </c>
      <c r="J135" s="6">
        <v>0.05</v>
      </c>
      <c r="K135" s="5">
        <v>170145</v>
      </c>
      <c r="L135" s="5">
        <v>160000</v>
      </c>
      <c r="M135" s="10">
        <v>1.119375</v>
      </c>
    </row>
    <row r="136" spans="1:13" x14ac:dyDescent="0.25">
      <c r="A136" s="7">
        <v>1135</v>
      </c>
      <c r="B136" s="1" t="s">
        <v>38</v>
      </c>
      <c r="C136" s="1" t="s">
        <v>39</v>
      </c>
      <c r="D136" s="1" t="s">
        <v>26</v>
      </c>
      <c r="E136" s="1" t="s">
        <v>27</v>
      </c>
      <c r="F136" s="1" t="s">
        <v>22</v>
      </c>
      <c r="G136" s="1">
        <v>21</v>
      </c>
      <c r="H136" s="2">
        <v>4800</v>
      </c>
      <c r="I136" s="2">
        <v>100800</v>
      </c>
      <c r="J136" s="3">
        <v>0.05</v>
      </c>
      <c r="K136" s="2">
        <v>95760</v>
      </c>
      <c r="L136" s="2">
        <v>95000</v>
      </c>
      <c r="M136" s="9">
        <v>1.0610526315789499</v>
      </c>
    </row>
    <row r="137" spans="1:13" x14ac:dyDescent="0.25">
      <c r="A137" s="8">
        <v>1136</v>
      </c>
      <c r="B137" s="4" t="s">
        <v>38</v>
      </c>
      <c r="C137" s="4" t="s">
        <v>39</v>
      </c>
      <c r="D137" s="4" t="s">
        <v>29</v>
      </c>
      <c r="E137" s="4" t="s">
        <v>31</v>
      </c>
      <c r="F137" s="4" t="s">
        <v>17</v>
      </c>
      <c r="G137" s="4">
        <v>11</v>
      </c>
      <c r="H137" s="5">
        <v>58600</v>
      </c>
      <c r="I137" s="5">
        <v>644600</v>
      </c>
      <c r="J137" s="6">
        <v>0</v>
      </c>
      <c r="K137" s="5">
        <v>644600</v>
      </c>
      <c r="L137" s="5">
        <v>543000</v>
      </c>
      <c r="M137" s="10">
        <v>1.1871086556169399</v>
      </c>
    </row>
    <row r="138" spans="1:13" x14ac:dyDescent="0.25">
      <c r="A138" s="7">
        <v>1137</v>
      </c>
      <c r="B138" s="1" t="s">
        <v>38</v>
      </c>
      <c r="C138" s="1" t="s">
        <v>39</v>
      </c>
      <c r="D138" s="1" t="s">
        <v>29</v>
      </c>
      <c r="E138" s="1" t="s">
        <v>31</v>
      </c>
      <c r="F138" s="1" t="s">
        <v>18</v>
      </c>
      <c r="G138" s="1">
        <v>12</v>
      </c>
      <c r="H138" s="2">
        <v>32400</v>
      </c>
      <c r="I138" s="2">
        <v>388800</v>
      </c>
      <c r="J138" s="3">
        <v>0</v>
      </c>
      <c r="K138" s="2">
        <v>388800</v>
      </c>
      <c r="L138" s="2">
        <v>445000</v>
      </c>
      <c r="M138" s="9">
        <v>0.87370786516853904</v>
      </c>
    </row>
    <row r="139" spans="1:13" x14ac:dyDescent="0.25">
      <c r="A139" s="8">
        <v>1138</v>
      </c>
      <c r="B139" s="4" t="s">
        <v>38</v>
      </c>
      <c r="C139" s="4" t="s">
        <v>39</v>
      </c>
      <c r="D139" s="4" t="s">
        <v>29</v>
      </c>
      <c r="E139" s="4" t="s">
        <v>31</v>
      </c>
      <c r="F139" s="4" t="s">
        <v>20</v>
      </c>
      <c r="G139" s="4">
        <v>22</v>
      </c>
      <c r="H139" s="5">
        <v>19100</v>
      </c>
      <c r="I139" s="5">
        <v>420200</v>
      </c>
      <c r="J139" s="6">
        <v>0</v>
      </c>
      <c r="K139" s="5">
        <v>420200</v>
      </c>
      <c r="L139" s="5">
        <v>398000</v>
      </c>
      <c r="M139" s="10">
        <v>1.0557788944723601</v>
      </c>
    </row>
    <row r="140" spans="1:13" x14ac:dyDescent="0.25">
      <c r="A140" s="7">
        <v>1139</v>
      </c>
      <c r="B140" s="1" t="s">
        <v>38</v>
      </c>
      <c r="C140" s="1" t="s">
        <v>39</v>
      </c>
      <c r="D140" s="1" t="s">
        <v>29</v>
      </c>
      <c r="E140" s="1" t="s">
        <v>31</v>
      </c>
      <c r="F140" s="1" t="s">
        <v>21</v>
      </c>
      <c r="G140" s="1">
        <v>15</v>
      </c>
      <c r="H140" s="2">
        <v>20900</v>
      </c>
      <c r="I140" s="2">
        <v>313500</v>
      </c>
      <c r="J140" s="3">
        <v>0.15</v>
      </c>
      <c r="K140" s="2">
        <v>266475</v>
      </c>
      <c r="L140" s="2">
        <v>342000</v>
      </c>
      <c r="M140" s="9">
        <v>0.91666666666666696</v>
      </c>
    </row>
    <row r="141" spans="1:13" x14ac:dyDescent="0.25">
      <c r="A141" s="8">
        <v>1140</v>
      </c>
      <c r="B141" s="4" t="s">
        <v>38</v>
      </c>
      <c r="C141" s="4" t="s">
        <v>39</v>
      </c>
      <c r="D141" s="4" t="s">
        <v>29</v>
      </c>
      <c r="E141" s="4" t="s">
        <v>31</v>
      </c>
      <c r="F141" s="4" t="s">
        <v>22</v>
      </c>
      <c r="G141" s="4">
        <v>27</v>
      </c>
      <c r="H141" s="5">
        <v>4500</v>
      </c>
      <c r="I141" s="5">
        <v>121500</v>
      </c>
      <c r="J141" s="6">
        <v>0.05</v>
      </c>
      <c r="K141" s="5">
        <v>115425</v>
      </c>
      <c r="L141" s="5">
        <v>158000</v>
      </c>
      <c r="M141" s="10">
        <v>0.768987341772152</v>
      </c>
    </row>
    <row r="142" spans="1:13" x14ac:dyDescent="0.25">
      <c r="A142" s="7">
        <v>1141</v>
      </c>
      <c r="B142" s="1" t="s">
        <v>40</v>
      </c>
      <c r="C142" s="1" t="s">
        <v>39</v>
      </c>
      <c r="D142" s="1" t="s">
        <v>15</v>
      </c>
      <c r="E142" s="1" t="s">
        <v>19</v>
      </c>
      <c r="F142" s="1" t="s">
        <v>17</v>
      </c>
      <c r="G142" s="1">
        <v>8</v>
      </c>
      <c r="H142" s="2">
        <v>67600</v>
      </c>
      <c r="I142" s="2">
        <v>540800</v>
      </c>
      <c r="J142" s="3">
        <v>0.05</v>
      </c>
      <c r="K142" s="2">
        <v>513760</v>
      </c>
      <c r="L142" s="2">
        <v>516000</v>
      </c>
      <c r="M142" s="9">
        <v>1.04806201550388</v>
      </c>
    </row>
    <row r="143" spans="1:13" x14ac:dyDescent="0.25">
      <c r="A143" s="8">
        <v>1142</v>
      </c>
      <c r="B143" s="4" t="s">
        <v>40</v>
      </c>
      <c r="C143" s="4" t="s">
        <v>39</v>
      </c>
      <c r="D143" s="4" t="s">
        <v>15</v>
      </c>
      <c r="E143" s="4" t="s">
        <v>16</v>
      </c>
      <c r="F143" s="4" t="s">
        <v>18</v>
      </c>
      <c r="G143" s="4">
        <v>6</v>
      </c>
      <c r="H143" s="5">
        <v>33400</v>
      </c>
      <c r="I143" s="5">
        <v>200400</v>
      </c>
      <c r="J143" s="6">
        <v>0.05</v>
      </c>
      <c r="K143" s="5">
        <v>190380</v>
      </c>
      <c r="L143" s="5">
        <v>172000</v>
      </c>
      <c r="M143" s="10">
        <v>1.16511627906977</v>
      </c>
    </row>
    <row r="144" spans="1:13" x14ac:dyDescent="0.25">
      <c r="A144" s="7">
        <v>1143</v>
      </c>
      <c r="B144" s="1" t="s">
        <v>40</v>
      </c>
      <c r="C144" s="1" t="s">
        <v>39</v>
      </c>
      <c r="D144" s="1" t="s">
        <v>15</v>
      </c>
      <c r="E144" s="1" t="s">
        <v>16</v>
      </c>
      <c r="F144" s="1" t="s">
        <v>20</v>
      </c>
      <c r="G144" s="1">
        <v>14</v>
      </c>
      <c r="H144" s="2">
        <v>17000</v>
      </c>
      <c r="I144" s="2">
        <v>238000</v>
      </c>
      <c r="J144" s="3">
        <v>0.05</v>
      </c>
      <c r="K144" s="2">
        <v>226100</v>
      </c>
      <c r="L144" s="2">
        <v>223000</v>
      </c>
      <c r="M144" s="9">
        <v>1.06726457399103</v>
      </c>
    </row>
    <row r="145" spans="1:13" x14ac:dyDescent="0.25">
      <c r="A145" s="8">
        <v>1144</v>
      </c>
      <c r="B145" s="4" t="s">
        <v>40</v>
      </c>
      <c r="C145" s="4" t="s">
        <v>39</v>
      </c>
      <c r="D145" s="4" t="s">
        <v>15</v>
      </c>
      <c r="E145" s="4" t="s">
        <v>19</v>
      </c>
      <c r="F145" s="4" t="s">
        <v>21</v>
      </c>
      <c r="G145" s="4">
        <v>5</v>
      </c>
      <c r="H145" s="5">
        <v>23500</v>
      </c>
      <c r="I145" s="5">
        <v>117500</v>
      </c>
      <c r="J145" s="6">
        <v>0.05</v>
      </c>
      <c r="K145" s="5">
        <v>111625</v>
      </c>
      <c r="L145" s="5">
        <v>107000</v>
      </c>
      <c r="M145" s="10">
        <v>1.0981308411215001</v>
      </c>
    </row>
    <row r="146" spans="1:13" x14ac:dyDescent="0.25">
      <c r="A146" s="7">
        <v>1145</v>
      </c>
      <c r="B146" s="1" t="s">
        <v>40</v>
      </c>
      <c r="C146" s="1" t="s">
        <v>39</v>
      </c>
      <c r="D146" s="1" t="s">
        <v>15</v>
      </c>
      <c r="E146" s="1" t="s">
        <v>16</v>
      </c>
      <c r="F146" s="1" t="s">
        <v>22</v>
      </c>
      <c r="G146" s="1">
        <v>19</v>
      </c>
      <c r="H146" s="2">
        <v>4100</v>
      </c>
      <c r="I146" s="2">
        <v>77900</v>
      </c>
      <c r="J146" s="3">
        <v>0.1</v>
      </c>
      <c r="K146" s="2">
        <v>70110</v>
      </c>
      <c r="L146" s="2">
        <v>67000</v>
      </c>
      <c r="M146" s="9">
        <v>1.16268656716418</v>
      </c>
    </row>
    <row r="147" spans="1:13" x14ac:dyDescent="0.25">
      <c r="A147" s="8">
        <v>1146</v>
      </c>
      <c r="B147" s="4" t="s">
        <v>40</v>
      </c>
      <c r="C147" s="4" t="s">
        <v>39</v>
      </c>
      <c r="D147" s="4" t="s">
        <v>23</v>
      </c>
      <c r="E147" s="4" t="s">
        <v>24</v>
      </c>
      <c r="F147" s="4" t="s">
        <v>17</v>
      </c>
      <c r="G147" s="4">
        <v>3</v>
      </c>
      <c r="H147" s="5">
        <v>65700</v>
      </c>
      <c r="I147" s="5">
        <v>197100</v>
      </c>
      <c r="J147" s="6">
        <v>0.15</v>
      </c>
      <c r="K147" s="5">
        <v>167535</v>
      </c>
      <c r="L147" s="5">
        <v>251000</v>
      </c>
      <c r="M147" s="10">
        <v>0.785258964143426</v>
      </c>
    </row>
    <row r="148" spans="1:13" x14ac:dyDescent="0.25">
      <c r="A148" s="7">
        <v>1147</v>
      </c>
      <c r="B148" s="1" t="s">
        <v>40</v>
      </c>
      <c r="C148" s="1" t="s">
        <v>39</v>
      </c>
      <c r="D148" s="1" t="s">
        <v>23</v>
      </c>
      <c r="E148" s="1" t="s">
        <v>25</v>
      </c>
      <c r="F148" s="1" t="s">
        <v>18</v>
      </c>
      <c r="G148" s="1">
        <v>6</v>
      </c>
      <c r="H148" s="2">
        <v>34400</v>
      </c>
      <c r="I148" s="2">
        <v>206400</v>
      </c>
      <c r="J148" s="3">
        <v>0.1</v>
      </c>
      <c r="K148" s="2">
        <v>185760</v>
      </c>
      <c r="L148" s="2">
        <v>194000</v>
      </c>
      <c r="M148" s="9">
        <v>1.0639175257732001</v>
      </c>
    </row>
    <row r="149" spans="1:13" x14ac:dyDescent="0.25">
      <c r="A149" s="8">
        <v>1148</v>
      </c>
      <c r="B149" s="4" t="s">
        <v>40</v>
      </c>
      <c r="C149" s="4" t="s">
        <v>39</v>
      </c>
      <c r="D149" s="4" t="s">
        <v>23</v>
      </c>
      <c r="E149" s="4" t="s">
        <v>25</v>
      </c>
      <c r="F149" s="4" t="s">
        <v>20</v>
      </c>
      <c r="G149" s="4">
        <v>22</v>
      </c>
      <c r="H149" s="5">
        <v>17400</v>
      </c>
      <c r="I149" s="5">
        <v>382800</v>
      </c>
      <c r="J149" s="6">
        <v>0</v>
      </c>
      <c r="K149" s="5">
        <v>382800</v>
      </c>
      <c r="L149" s="5">
        <v>355000</v>
      </c>
      <c r="M149" s="10">
        <v>1.0783098591549301</v>
      </c>
    </row>
    <row r="150" spans="1:13" x14ac:dyDescent="0.25">
      <c r="A150" s="7">
        <v>1149</v>
      </c>
      <c r="B150" s="1" t="s">
        <v>40</v>
      </c>
      <c r="C150" s="1" t="s">
        <v>39</v>
      </c>
      <c r="D150" s="1" t="s">
        <v>23</v>
      </c>
      <c r="E150" s="1" t="s">
        <v>25</v>
      </c>
      <c r="F150" s="1" t="s">
        <v>21</v>
      </c>
      <c r="G150" s="1">
        <v>5</v>
      </c>
      <c r="H150" s="2">
        <v>23400</v>
      </c>
      <c r="I150" s="2">
        <v>117000</v>
      </c>
      <c r="J150" s="3">
        <v>0.05</v>
      </c>
      <c r="K150" s="2">
        <v>111150</v>
      </c>
      <c r="L150" s="2">
        <v>122000</v>
      </c>
      <c r="M150" s="9">
        <v>0.95901639344262302</v>
      </c>
    </row>
    <row r="151" spans="1:13" x14ac:dyDescent="0.25">
      <c r="A151" s="8">
        <v>1150</v>
      </c>
      <c r="B151" s="4" t="s">
        <v>40</v>
      </c>
      <c r="C151" s="4" t="s">
        <v>39</v>
      </c>
      <c r="D151" s="4" t="s">
        <v>23</v>
      </c>
      <c r="E151" s="4" t="s">
        <v>24</v>
      </c>
      <c r="F151" s="4" t="s">
        <v>22</v>
      </c>
      <c r="G151" s="4">
        <v>14</v>
      </c>
      <c r="H151" s="5">
        <v>4200</v>
      </c>
      <c r="I151" s="5">
        <v>58800</v>
      </c>
      <c r="J151" s="6">
        <v>0.1</v>
      </c>
      <c r="K151" s="5">
        <v>52920</v>
      </c>
      <c r="L151" s="5">
        <v>75000</v>
      </c>
      <c r="M151" s="10">
        <v>0.78400000000000003</v>
      </c>
    </row>
    <row r="152" spans="1:13" x14ac:dyDescent="0.25">
      <c r="A152" s="7">
        <v>1151</v>
      </c>
      <c r="B152" s="1" t="s">
        <v>40</v>
      </c>
      <c r="C152" s="1" t="s">
        <v>39</v>
      </c>
      <c r="D152" s="1" t="s">
        <v>26</v>
      </c>
      <c r="E152" s="1" t="s">
        <v>27</v>
      </c>
      <c r="F152" s="1" t="s">
        <v>17</v>
      </c>
      <c r="G152" s="1">
        <v>6</v>
      </c>
      <c r="H152" s="2">
        <v>60000</v>
      </c>
      <c r="I152" s="2">
        <v>360000</v>
      </c>
      <c r="J152" s="3">
        <v>0.05</v>
      </c>
      <c r="K152" s="2">
        <v>342000</v>
      </c>
      <c r="L152" s="2">
        <v>397000</v>
      </c>
      <c r="M152" s="9">
        <v>0.90680100755667503</v>
      </c>
    </row>
    <row r="153" spans="1:13" x14ac:dyDescent="0.25">
      <c r="A153" s="8">
        <v>1152</v>
      </c>
      <c r="B153" s="4" t="s">
        <v>40</v>
      </c>
      <c r="C153" s="4" t="s">
        <v>39</v>
      </c>
      <c r="D153" s="4" t="s">
        <v>26</v>
      </c>
      <c r="E153" s="4" t="s">
        <v>27</v>
      </c>
      <c r="F153" s="4" t="s">
        <v>18</v>
      </c>
      <c r="G153" s="4">
        <v>17</v>
      </c>
      <c r="H153" s="5">
        <v>32100</v>
      </c>
      <c r="I153" s="5">
        <v>545700</v>
      </c>
      <c r="J153" s="6">
        <v>0.05</v>
      </c>
      <c r="K153" s="5">
        <v>518415</v>
      </c>
      <c r="L153" s="5">
        <v>684000</v>
      </c>
      <c r="M153" s="10">
        <v>0.79780701754385996</v>
      </c>
    </row>
    <row r="154" spans="1:13" x14ac:dyDescent="0.25">
      <c r="A154" s="7">
        <v>1153</v>
      </c>
      <c r="B154" s="1" t="s">
        <v>40</v>
      </c>
      <c r="C154" s="1" t="s">
        <v>39</v>
      </c>
      <c r="D154" s="1" t="s">
        <v>26</v>
      </c>
      <c r="E154" s="1" t="s">
        <v>28</v>
      </c>
      <c r="F154" s="1" t="s">
        <v>20</v>
      </c>
      <c r="G154" s="1">
        <v>21</v>
      </c>
      <c r="H154" s="2">
        <v>17300</v>
      </c>
      <c r="I154" s="2">
        <v>363300</v>
      </c>
      <c r="J154" s="3">
        <v>0.1</v>
      </c>
      <c r="K154" s="2">
        <v>326970</v>
      </c>
      <c r="L154" s="2">
        <v>302000</v>
      </c>
      <c r="M154" s="9">
        <v>1.20298013245033</v>
      </c>
    </row>
    <row r="155" spans="1:13" x14ac:dyDescent="0.25">
      <c r="A155" s="8">
        <v>1154</v>
      </c>
      <c r="B155" s="4" t="s">
        <v>40</v>
      </c>
      <c r="C155" s="4" t="s">
        <v>39</v>
      </c>
      <c r="D155" s="4" t="s">
        <v>26</v>
      </c>
      <c r="E155" s="4" t="s">
        <v>27</v>
      </c>
      <c r="F155" s="4" t="s">
        <v>21</v>
      </c>
      <c r="G155" s="4">
        <v>7</v>
      </c>
      <c r="H155" s="5">
        <v>22600</v>
      </c>
      <c r="I155" s="5">
        <v>158200</v>
      </c>
      <c r="J155" s="6">
        <v>0.05</v>
      </c>
      <c r="K155" s="5">
        <v>150290</v>
      </c>
      <c r="L155" s="5">
        <v>179000</v>
      </c>
      <c r="M155" s="10">
        <v>0.88379888268156404</v>
      </c>
    </row>
    <row r="156" spans="1:13" x14ac:dyDescent="0.25">
      <c r="A156" s="7">
        <v>1155</v>
      </c>
      <c r="B156" s="1" t="s">
        <v>40</v>
      </c>
      <c r="C156" s="1" t="s">
        <v>39</v>
      </c>
      <c r="D156" s="1" t="s">
        <v>26</v>
      </c>
      <c r="E156" s="1" t="s">
        <v>27</v>
      </c>
      <c r="F156" s="1" t="s">
        <v>22</v>
      </c>
      <c r="G156" s="1">
        <v>17</v>
      </c>
      <c r="H156" s="2">
        <v>4200</v>
      </c>
      <c r="I156" s="2">
        <v>71400</v>
      </c>
      <c r="J156" s="3">
        <v>0</v>
      </c>
      <c r="K156" s="2">
        <v>71400</v>
      </c>
      <c r="L156" s="2">
        <v>63000</v>
      </c>
      <c r="M156" s="9">
        <v>1.13333333333333</v>
      </c>
    </row>
    <row r="157" spans="1:13" x14ac:dyDescent="0.25">
      <c r="A157" s="8">
        <v>1156</v>
      </c>
      <c r="B157" s="4" t="s">
        <v>40</v>
      </c>
      <c r="C157" s="4" t="s">
        <v>39</v>
      </c>
      <c r="D157" s="4" t="s">
        <v>29</v>
      </c>
      <c r="E157" s="4" t="s">
        <v>31</v>
      </c>
      <c r="F157" s="4" t="s">
        <v>17</v>
      </c>
      <c r="G157" s="4">
        <v>10</v>
      </c>
      <c r="H157" s="5">
        <v>67500</v>
      </c>
      <c r="I157" s="5">
        <v>675000</v>
      </c>
      <c r="J157" s="6">
        <v>0.05</v>
      </c>
      <c r="K157" s="5">
        <v>641250</v>
      </c>
      <c r="L157" s="5">
        <v>638000</v>
      </c>
      <c r="M157" s="10">
        <v>1.05799373040752</v>
      </c>
    </row>
    <row r="158" spans="1:13" x14ac:dyDescent="0.25">
      <c r="A158" s="7">
        <v>1157</v>
      </c>
      <c r="B158" s="1" t="s">
        <v>40</v>
      </c>
      <c r="C158" s="1" t="s">
        <v>39</v>
      </c>
      <c r="D158" s="1" t="s">
        <v>29</v>
      </c>
      <c r="E158" s="1" t="s">
        <v>30</v>
      </c>
      <c r="F158" s="1" t="s">
        <v>18</v>
      </c>
      <c r="G158" s="1">
        <v>9</v>
      </c>
      <c r="H158" s="2">
        <v>33300</v>
      </c>
      <c r="I158" s="2">
        <v>299700</v>
      </c>
      <c r="J158" s="3">
        <v>0.15</v>
      </c>
      <c r="K158" s="2">
        <v>254745</v>
      </c>
      <c r="L158" s="2">
        <v>369000</v>
      </c>
      <c r="M158" s="9">
        <v>0.81219512195122001</v>
      </c>
    </row>
    <row r="159" spans="1:13" x14ac:dyDescent="0.25">
      <c r="A159" s="8">
        <v>1158</v>
      </c>
      <c r="B159" s="4" t="s">
        <v>40</v>
      </c>
      <c r="C159" s="4" t="s">
        <v>39</v>
      </c>
      <c r="D159" s="4" t="s">
        <v>29</v>
      </c>
      <c r="E159" s="4" t="s">
        <v>30</v>
      </c>
      <c r="F159" s="4" t="s">
        <v>20</v>
      </c>
      <c r="G159" s="4">
        <v>15</v>
      </c>
      <c r="H159" s="5">
        <v>19500</v>
      </c>
      <c r="I159" s="5">
        <v>292500</v>
      </c>
      <c r="J159" s="6">
        <v>0.15</v>
      </c>
      <c r="K159" s="5">
        <v>248625</v>
      </c>
      <c r="L159" s="5">
        <v>320000</v>
      </c>
      <c r="M159" s="10">
        <v>0.9140625</v>
      </c>
    </row>
    <row r="160" spans="1:13" x14ac:dyDescent="0.25">
      <c r="A160" s="7">
        <v>1159</v>
      </c>
      <c r="B160" s="1" t="s">
        <v>40</v>
      </c>
      <c r="C160" s="1" t="s">
        <v>39</v>
      </c>
      <c r="D160" s="1" t="s">
        <v>29</v>
      </c>
      <c r="E160" s="1" t="s">
        <v>30</v>
      </c>
      <c r="F160" s="1" t="s">
        <v>21</v>
      </c>
      <c r="G160" s="1">
        <v>10</v>
      </c>
      <c r="H160" s="2">
        <v>20300</v>
      </c>
      <c r="I160" s="2">
        <v>203000</v>
      </c>
      <c r="J160" s="3">
        <v>0</v>
      </c>
      <c r="K160" s="2">
        <v>203000</v>
      </c>
      <c r="L160" s="2">
        <v>228000</v>
      </c>
      <c r="M160" s="9">
        <v>0.890350877192982</v>
      </c>
    </row>
    <row r="161" spans="1:13" x14ac:dyDescent="0.25">
      <c r="A161" s="8">
        <v>1160</v>
      </c>
      <c r="B161" s="4" t="s">
        <v>40</v>
      </c>
      <c r="C161" s="4" t="s">
        <v>39</v>
      </c>
      <c r="D161" s="4" t="s">
        <v>29</v>
      </c>
      <c r="E161" s="4" t="s">
        <v>31</v>
      </c>
      <c r="F161" s="4" t="s">
        <v>22</v>
      </c>
      <c r="G161" s="4">
        <v>36</v>
      </c>
      <c r="H161" s="5">
        <v>4200</v>
      </c>
      <c r="I161" s="5">
        <v>151200</v>
      </c>
      <c r="J161" s="6">
        <v>0</v>
      </c>
      <c r="K161" s="5">
        <v>151200</v>
      </c>
      <c r="L161" s="5">
        <v>134000</v>
      </c>
      <c r="M161" s="10">
        <v>1.12835820895522</v>
      </c>
    </row>
    <row r="162" spans="1:13" x14ac:dyDescent="0.25">
      <c r="A162" s="7">
        <v>1161</v>
      </c>
      <c r="B162" s="1" t="s">
        <v>41</v>
      </c>
      <c r="C162" s="1" t="s">
        <v>39</v>
      </c>
      <c r="D162" s="1" t="s">
        <v>15</v>
      </c>
      <c r="E162" s="1" t="s">
        <v>19</v>
      </c>
      <c r="F162" s="1" t="s">
        <v>17</v>
      </c>
      <c r="G162" s="1">
        <v>12</v>
      </c>
      <c r="H162" s="2">
        <v>68200</v>
      </c>
      <c r="I162" s="2">
        <v>818400</v>
      </c>
      <c r="J162" s="3">
        <v>0.1</v>
      </c>
      <c r="K162" s="2">
        <v>736560</v>
      </c>
      <c r="L162" s="2">
        <v>1032000</v>
      </c>
      <c r="M162" s="9">
        <v>0.79302325581395405</v>
      </c>
    </row>
    <row r="163" spans="1:13" x14ac:dyDescent="0.25">
      <c r="A163" s="8">
        <v>1162</v>
      </c>
      <c r="B163" s="4" t="s">
        <v>41</v>
      </c>
      <c r="C163" s="4" t="s">
        <v>39</v>
      </c>
      <c r="D163" s="4" t="s">
        <v>15</v>
      </c>
      <c r="E163" s="4" t="s">
        <v>19</v>
      </c>
      <c r="F163" s="4" t="s">
        <v>18</v>
      </c>
      <c r="G163" s="4">
        <v>6</v>
      </c>
      <c r="H163" s="5">
        <v>31800</v>
      </c>
      <c r="I163" s="5">
        <v>190800</v>
      </c>
      <c r="J163" s="6">
        <v>0.05</v>
      </c>
      <c r="K163" s="5">
        <v>181260</v>
      </c>
      <c r="L163" s="5">
        <v>219000</v>
      </c>
      <c r="M163" s="10">
        <v>0.87123287671232896</v>
      </c>
    </row>
    <row r="164" spans="1:13" x14ac:dyDescent="0.25">
      <c r="A164" s="7">
        <v>1163</v>
      </c>
      <c r="B164" s="1" t="s">
        <v>41</v>
      </c>
      <c r="C164" s="1" t="s">
        <v>39</v>
      </c>
      <c r="D164" s="1" t="s">
        <v>15</v>
      </c>
      <c r="E164" s="1" t="s">
        <v>19</v>
      </c>
      <c r="F164" s="1" t="s">
        <v>20</v>
      </c>
      <c r="G164" s="1">
        <v>24</v>
      </c>
      <c r="H164" s="2">
        <v>18100</v>
      </c>
      <c r="I164" s="2">
        <v>434400</v>
      </c>
      <c r="J164" s="3">
        <v>0.05</v>
      </c>
      <c r="K164" s="2">
        <v>412680</v>
      </c>
      <c r="L164" s="2">
        <v>365000</v>
      </c>
      <c r="M164" s="9">
        <v>1.19013698630137</v>
      </c>
    </row>
    <row r="165" spans="1:13" x14ac:dyDescent="0.25">
      <c r="A165" s="8">
        <v>1164</v>
      </c>
      <c r="B165" s="4" t="s">
        <v>41</v>
      </c>
      <c r="C165" s="4" t="s">
        <v>39</v>
      </c>
      <c r="D165" s="4" t="s">
        <v>15</v>
      </c>
      <c r="E165" s="4" t="s">
        <v>16</v>
      </c>
      <c r="F165" s="4" t="s">
        <v>21</v>
      </c>
      <c r="G165" s="4">
        <v>10</v>
      </c>
      <c r="H165" s="5">
        <v>23000</v>
      </c>
      <c r="I165" s="5">
        <v>230000</v>
      </c>
      <c r="J165" s="6">
        <v>0.1</v>
      </c>
      <c r="K165" s="5">
        <v>207000</v>
      </c>
      <c r="L165" s="5">
        <v>213000</v>
      </c>
      <c r="M165" s="10">
        <v>1.07981220657277</v>
      </c>
    </row>
    <row r="166" spans="1:13" x14ac:dyDescent="0.25">
      <c r="A166" s="7">
        <v>1165</v>
      </c>
      <c r="B166" s="1" t="s">
        <v>41</v>
      </c>
      <c r="C166" s="1" t="s">
        <v>39</v>
      </c>
      <c r="D166" s="1" t="s">
        <v>15</v>
      </c>
      <c r="E166" s="1" t="s">
        <v>16</v>
      </c>
      <c r="F166" s="1" t="s">
        <v>22</v>
      </c>
      <c r="G166" s="1">
        <v>17</v>
      </c>
      <c r="H166" s="2">
        <v>4900</v>
      </c>
      <c r="I166" s="2">
        <v>83300</v>
      </c>
      <c r="J166" s="3">
        <v>0.1</v>
      </c>
      <c r="K166" s="2">
        <v>74970</v>
      </c>
      <c r="L166" s="2">
        <v>91000</v>
      </c>
      <c r="M166" s="9">
        <v>0.91538461538461502</v>
      </c>
    </row>
    <row r="167" spans="1:13" x14ac:dyDescent="0.25">
      <c r="A167" s="8">
        <v>1166</v>
      </c>
      <c r="B167" s="4" t="s">
        <v>41</v>
      </c>
      <c r="C167" s="4" t="s">
        <v>39</v>
      </c>
      <c r="D167" s="4" t="s">
        <v>23</v>
      </c>
      <c r="E167" s="4" t="s">
        <v>24</v>
      </c>
      <c r="F167" s="4" t="s">
        <v>17</v>
      </c>
      <c r="G167" s="4">
        <v>7</v>
      </c>
      <c r="H167" s="5">
        <v>66000</v>
      </c>
      <c r="I167" s="5">
        <v>462000</v>
      </c>
      <c r="J167" s="6">
        <v>0</v>
      </c>
      <c r="K167" s="5">
        <v>462000</v>
      </c>
      <c r="L167" s="5">
        <v>478000</v>
      </c>
      <c r="M167" s="10">
        <v>0.96652719665272002</v>
      </c>
    </row>
    <row r="168" spans="1:13" x14ac:dyDescent="0.25">
      <c r="A168" s="7">
        <v>1167</v>
      </c>
      <c r="B168" s="1" t="s">
        <v>41</v>
      </c>
      <c r="C168" s="1" t="s">
        <v>39</v>
      </c>
      <c r="D168" s="1" t="s">
        <v>23</v>
      </c>
      <c r="E168" s="1" t="s">
        <v>25</v>
      </c>
      <c r="F168" s="1" t="s">
        <v>18</v>
      </c>
      <c r="G168" s="1">
        <v>9</v>
      </c>
      <c r="H168" s="2">
        <v>30000</v>
      </c>
      <c r="I168" s="2">
        <v>270000</v>
      </c>
      <c r="J168" s="3">
        <v>0.1</v>
      </c>
      <c r="K168" s="2">
        <v>243000</v>
      </c>
      <c r="L168" s="2">
        <v>275000</v>
      </c>
      <c r="M168" s="9">
        <v>0.98181818181818203</v>
      </c>
    </row>
    <row r="169" spans="1:13" x14ac:dyDescent="0.25">
      <c r="A169" s="8">
        <v>1168</v>
      </c>
      <c r="B169" s="4" t="s">
        <v>41</v>
      </c>
      <c r="C169" s="4" t="s">
        <v>39</v>
      </c>
      <c r="D169" s="4" t="s">
        <v>23</v>
      </c>
      <c r="E169" s="4" t="s">
        <v>25</v>
      </c>
      <c r="F169" s="4" t="s">
        <v>20</v>
      </c>
      <c r="G169" s="4">
        <v>10</v>
      </c>
      <c r="H169" s="5">
        <v>17900</v>
      </c>
      <c r="I169" s="5">
        <v>179000</v>
      </c>
      <c r="J169" s="6">
        <v>0.05</v>
      </c>
      <c r="K169" s="5">
        <v>170050</v>
      </c>
      <c r="L169" s="5">
        <v>173000</v>
      </c>
      <c r="M169" s="10">
        <v>1.03468208092486</v>
      </c>
    </row>
    <row r="170" spans="1:13" x14ac:dyDescent="0.25">
      <c r="A170" s="7">
        <v>1169</v>
      </c>
      <c r="B170" s="1" t="s">
        <v>41</v>
      </c>
      <c r="C170" s="1" t="s">
        <v>39</v>
      </c>
      <c r="D170" s="1" t="s">
        <v>23</v>
      </c>
      <c r="E170" s="1" t="s">
        <v>24</v>
      </c>
      <c r="F170" s="1" t="s">
        <v>21</v>
      </c>
      <c r="G170" s="1">
        <v>6</v>
      </c>
      <c r="H170" s="2">
        <v>21300</v>
      </c>
      <c r="I170" s="2">
        <v>127800</v>
      </c>
      <c r="J170" s="3">
        <v>0.15</v>
      </c>
      <c r="K170" s="2">
        <v>108630</v>
      </c>
      <c r="L170" s="2">
        <v>134000</v>
      </c>
      <c r="M170" s="9">
        <v>0.953731343283582</v>
      </c>
    </row>
    <row r="171" spans="1:13" x14ac:dyDescent="0.25">
      <c r="A171" s="8">
        <v>1170</v>
      </c>
      <c r="B171" s="4" t="s">
        <v>41</v>
      </c>
      <c r="C171" s="4" t="s">
        <v>39</v>
      </c>
      <c r="D171" s="4" t="s">
        <v>23</v>
      </c>
      <c r="E171" s="4" t="s">
        <v>25</v>
      </c>
      <c r="F171" s="4" t="s">
        <v>22</v>
      </c>
      <c r="G171" s="4">
        <v>36</v>
      </c>
      <c r="H171" s="5">
        <v>4700</v>
      </c>
      <c r="I171" s="5">
        <v>169200</v>
      </c>
      <c r="J171" s="6">
        <v>0</v>
      </c>
      <c r="K171" s="5">
        <v>169200</v>
      </c>
      <c r="L171" s="5">
        <v>174000</v>
      </c>
      <c r="M171" s="10">
        <v>0.972413793103448</v>
      </c>
    </row>
    <row r="172" spans="1:13" x14ac:dyDescent="0.25">
      <c r="A172" s="7">
        <v>1171</v>
      </c>
      <c r="B172" s="1" t="s">
        <v>41</v>
      </c>
      <c r="C172" s="1" t="s">
        <v>39</v>
      </c>
      <c r="D172" s="1" t="s">
        <v>26</v>
      </c>
      <c r="E172" s="1" t="s">
        <v>28</v>
      </c>
      <c r="F172" s="1" t="s">
        <v>17</v>
      </c>
      <c r="G172" s="1">
        <v>7</v>
      </c>
      <c r="H172" s="2">
        <v>62700</v>
      </c>
      <c r="I172" s="2">
        <v>438900</v>
      </c>
      <c r="J172" s="3">
        <v>0.05</v>
      </c>
      <c r="K172" s="2">
        <v>416955</v>
      </c>
      <c r="L172" s="2">
        <v>541000</v>
      </c>
      <c r="M172" s="9">
        <v>0.81127541589648799</v>
      </c>
    </row>
    <row r="173" spans="1:13" x14ac:dyDescent="0.25">
      <c r="A173" s="8">
        <v>1172</v>
      </c>
      <c r="B173" s="4" t="s">
        <v>41</v>
      </c>
      <c r="C173" s="4" t="s">
        <v>39</v>
      </c>
      <c r="D173" s="4" t="s">
        <v>26</v>
      </c>
      <c r="E173" s="4" t="s">
        <v>27</v>
      </c>
      <c r="F173" s="4" t="s">
        <v>18</v>
      </c>
      <c r="G173" s="4">
        <v>15</v>
      </c>
      <c r="H173" s="5">
        <v>34400</v>
      </c>
      <c r="I173" s="5">
        <v>516000</v>
      </c>
      <c r="J173" s="6">
        <v>0.05</v>
      </c>
      <c r="K173" s="5">
        <v>490200</v>
      </c>
      <c r="L173" s="5">
        <v>519000</v>
      </c>
      <c r="M173" s="10">
        <v>0.99421965317919103</v>
      </c>
    </row>
    <row r="174" spans="1:13" x14ac:dyDescent="0.25">
      <c r="A174" s="7">
        <v>1173</v>
      </c>
      <c r="B174" s="1" t="s">
        <v>41</v>
      </c>
      <c r="C174" s="1" t="s">
        <v>39</v>
      </c>
      <c r="D174" s="1" t="s">
        <v>26</v>
      </c>
      <c r="E174" s="1" t="s">
        <v>27</v>
      </c>
      <c r="F174" s="1" t="s">
        <v>20</v>
      </c>
      <c r="G174" s="1">
        <v>24</v>
      </c>
      <c r="H174" s="2">
        <v>17500</v>
      </c>
      <c r="I174" s="2">
        <v>420000</v>
      </c>
      <c r="J174" s="3">
        <v>0.05</v>
      </c>
      <c r="K174" s="2">
        <v>399000</v>
      </c>
      <c r="L174" s="2">
        <v>467000</v>
      </c>
      <c r="M174" s="9">
        <v>0.899357601713062</v>
      </c>
    </row>
    <row r="175" spans="1:13" x14ac:dyDescent="0.25">
      <c r="A175" s="8">
        <v>1174</v>
      </c>
      <c r="B175" s="4" t="s">
        <v>41</v>
      </c>
      <c r="C175" s="4" t="s">
        <v>39</v>
      </c>
      <c r="D175" s="4" t="s">
        <v>26</v>
      </c>
      <c r="E175" s="4" t="s">
        <v>27</v>
      </c>
      <c r="F175" s="4" t="s">
        <v>21</v>
      </c>
      <c r="G175" s="4">
        <v>7</v>
      </c>
      <c r="H175" s="5">
        <v>21000</v>
      </c>
      <c r="I175" s="5">
        <v>147000</v>
      </c>
      <c r="J175" s="6">
        <v>0</v>
      </c>
      <c r="K175" s="5">
        <v>147000</v>
      </c>
      <c r="L175" s="5">
        <v>186000</v>
      </c>
      <c r="M175" s="10">
        <v>0.79032258064516103</v>
      </c>
    </row>
    <row r="176" spans="1:13" x14ac:dyDescent="0.25">
      <c r="A176" s="7">
        <v>1175</v>
      </c>
      <c r="B176" s="1" t="s">
        <v>41</v>
      </c>
      <c r="C176" s="1" t="s">
        <v>39</v>
      </c>
      <c r="D176" s="1" t="s">
        <v>26</v>
      </c>
      <c r="E176" s="1" t="s">
        <v>28</v>
      </c>
      <c r="F176" s="1" t="s">
        <v>22</v>
      </c>
      <c r="G176" s="1">
        <v>38</v>
      </c>
      <c r="H176" s="2">
        <v>4700</v>
      </c>
      <c r="I176" s="2">
        <v>178600</v>
      </c>
      <c r="J176" s="3">
        <v>0</v>
      </c>
      <c r="K176" s="2">
        <v>178600</v>
      </c>
      <c r="L176" s="2">
        <v>145000</v>
      </c>
      <c r="M176" s="9">
        <v>1.23172413793103</v>
      </c>
    </row>
    <row r="177" spans="1:13" x14ac:dyDescent="0.25">
      <c r="A177" s="8">
        <v>1176</v>
      </c>
      <c r="B177" s="4" t="s">
        <v>41</v>
      </c>
      <c r="C177" s="4" t="s">
        <v>39</v>
      </c>
      <c r="D177" s="4" t="s">
        <v>29</v>
      </c>
      <c r="E177" s="4" t="s">
        <v>30</v>
      </c>
      <c r="F177" s="4" t="s">
        <v>17</v>
      </c>
      <c r="G177" s="4">
        <v>5</v>
      </c>
      <c r="H177" s="5">
        <v>62500</v>
      </c>
      <c r="I177" s="5">
        <v>312500</v>
      </c>
      <c r="J177" s="6">
        <v>0</v>
      </c>
      <c r="K177" s="5">
        <v>312500</v>
      </c>
      <c r="L177" s="5">
        <v>336000</v>
      </c>
      <c r="M177" s="10">
        <v>0.93005952380952395</v>
      </c>
    </row>
    <row r="178" spans="1:13" x14ac:dyDescent="0.25">
      <c r="A178" s="7">
        <v>1177</v>
      </c>
      <c r="B178" s="1" t="s">
        <v>41</v>
      </c>
      <c r="C178" s="1" t="s">
        <v>39</v>
      </c>
      <c r="D178" s="1" t="s">
        <v>29</v>
      </c>
      <c r="E178" s="1" t="s">
        <v>30</v>
      </c>
      <c r="F178" s="1" t="s">
        <v>18</v>
      </c>
      <c r="G178" s="1">
        <v>8</v>
      </c>
      <c r="H178" s="2">
        <v>35200</v>
      </c>
      <c r="I178" s="2">
        <v>281600</v>
      </c>
      <c r="J178" s="3">
        <v>0</v>
      </c>
      <c r="K178" s="2">
        <v>281600</v>
      </c>
      <c r="L178" s="2">
        <v>290000</v>
      </c>
      <c r="M178" s="9">
        <v>0.97103448275862103</v>
      </c>
    </row>
    <row r="179" spans="1:13" x14ac:dyDescent="0.25">
      <c r="A179" s="8">
        <v>1178</v>
      </c>
      <c r="B179" s="4" t="s">
        <v>41</v>
      </c>
      <c r="C179" s="4" t="s">
        <v>39</v>
      </c>
      <c r="D179" s="4" t="s">
        <v>29</v>
      </c>
      <c r="E179" s="4" t="s">
        <v>30</v>
      </c>
      <c r="F179" s="4" t="s">
        <v>20</v>
      </c>
      <c r="G179" s="4">
        <v>12</v>
      </c>
      <c r="H179" s="5">
        <v>18000</v>
      </c>
      <c r="I179" s="5">
        <v>216000</v>
      </c>
      <c r="J179" s="6">
        <v>0.15</v>
      </c>
      <c r="K179" s="5">
        <v>183600</v>
      </c>
      <c r="L179" s="5">
        <v>204000</v>
      </c>
      <c r="M179" s="10">
        <v>1.0588235294117601</v>
      </c>
    </row>
    <row r="180" spans="1:13" x14ac:dyDescent="0.25">
      <c r="A180" s="7">
        <v>1179</v>
      </c>
      <c r="B180" s="1" t="s">
        <v>41</v>
      </c>
      <c r="C180" s="1" t="s">
        <v>39</v>
      </c>
      <c r="D180" s="1" t="s">
        <v>29</v>
      </c>
      <c r="E180" s="1" t="s">
        <v>31</v>
      </c>
      <c r="F180" s="1" t="s">
        <v>21</v>
      </c>
      <c r="G180" s="1">
        <v>10</v>
      </c>
      <c r="H180" s="2">
        <v>23500</v>
      </c>
      <c r="I180" s="2">
        <v>235000</v>
      </c>
      <c r="J180" s="3">
        <v>0.05</v>
      </c>
      <c r="K180" s="2">
        <v>223250</v>
      </c>
      <c r="L180" s="2">
        <v>217000</v>
      </c>
      <c r="M180" s="9">
        <v>1.08294930875576</v>
      </c>
    </row>
    <row r="181" spans="1:13" x14ac:dyDescent="0.25">
      <c r="A181" s="8">
        <v>1180</v>
      </c>
      <c r="B181" s="4" t="s">
        <v>41</v>
      </c>
      <c r="C181" s="4" t="s">
        <v>39</v>
      </c>
      <c r="D181" s="4" t="s">
        <v>29</v>
      </c>
      <c r="E181" s="4" t="s">
        <v>30</v>
      </c>
      <c r="F181" s="4" t="s">
        <v>22</v>
      </c>
      <c r="G181" s="4">
        <v>22</v>
      </c>
      <c r="H181" s="5">
        <v>4200</v>
      </c>
      <c r="I181" s="5">
        <v>92400</v>
      </c>
      <c r="J181" s="6">
        <v>0.1</v>
      </c>
      <c r="K181" s="5">
        <v>83160</v>
      </c>
      <c r="L181" s="5">
        <v>97000</v>
      </c>
      <c r="M181" s="10">
        <v>0.95257731958762903</v>
      </c>
    </row>
    <row r="182" spans="1:13" x14ac:dyDescent="0.25">
      <c r="A182" s="7">
        <v>1181</v>
      </c>
      <c r="B182" s="1" t="s">
        <v>42</v>
      </c>
      <c r="C182" s="1" t="s">
        <v>43</v>
      </c>
      <c r="D182" s="1" t="s">
        <v>15</v>
      </c>
      <c r="E182" s="1" t="s">
        <v>16</v>
      </c>
      <c r="F182" s="1" t="s">
        <v>17</v>
      </c>
      <c r="G182" s="1">
        <v>4</v>
      </c>
      <c r="H182" s="2">
        <v>62100</v>
      </c>
      <c r="I182" s="2">
        <v>248400</v>
      </c>
      <c r="J182" s="3">
        <v>0.05</v>
      </c>
      <c r="K182" s="2">
        <v>235980</v>
      </c>
      <c r="L182" s="2">
        <v>241000</v>
      </c>
      <c r="M182" s="9">
        <v>1.0307053941908699</v>
      </c>
    </row>
    <row r="183" spans="1:13" x14ac:dyDescent="0.25">
      <c r="A183" s="8">
        <v>1182</v>
      </c>
      <c r="B183" s="4" t="s">
        <v>42</v>
      </c>
      <c r="C183" s="4" t="s">
        <v>43</v>
      </c>
      <c r="D183" s="4" t="s">
        <v>15</v>
      </c>
      <c r="E183" s="4" t="s">
        <v>19</v>
      </c>
      <c r="F183" s="4" t="s">
        <v>18</v>
      </c>
      <c r="G183" s="4">
        <v>18</v>
      </c>
      <c r="H183" s="5">
        <v>28800</v>
      </c>
      <c r="I183" s="5">
        <v>518400</v>
      </c>
      <c r="J183" s="6">
        <v>0.15</v>
      </c>
      <c r="K183" s="5">
        <v>440640</v>
      </c>
      <c r="L183" s="5">
        <v>492000</v>
      </c>
      <c r="M183" s="10">
        <v>1.0536585365853699</v>
      </c>
    </row>
    <row r="184" spans="1:13" x14ac:dyDescent="0.25">
      <c r="A184" s="7">
        <v>1183</v>
      </c>
      <c r="B184" s="1" t="s">
        <v>42</v>
      </c>
      <c r="C184" s="1" t="s">
        <v>43</v>
      </c>
      <c r="D184" s="1" t="s">
        <v>15</v>
      </c>
      <c r="E184" s="1" t="s">
        <v>19</v>
      </c>
      <c r="F184" s="1" t="s">
        <v>20</v>
      </c>
      <c r="G184" s="1">
        <v>12</v>
      </c>
      <c r="H184" s="2">
        <v>17800</v>
      </c>
      <c r="I184" s="2">
        <v>213600</v>
      </c>
      <c r="J184" s="3">
        <v>0.05</v>
      </c>
      <c r="K184" s="2">
        <v>202920</v>
      </c>
      <c r="L184" s="2">
        <v>208000</v>
      </c>
      <c r="M184" s="9">
        <v>1.0269230769230799</v>
      </c>
    </row>
    <row r="185" spans="1:13" x14ac:dyDescent="0.25">
      <c r="A185" s="8">
        <v>1184</v>
      </c>
      <c r="B185" s="4" t="s">
        <v>42</v>
      </c>
      <c r="C185" s="4" t="s">
        <v>43</v>
      </c>
      <c r="D185" s="4" t="s">
        <v>15</v>
      </c>
      <c r="E185" s="4" t="s">
        <v>19</v>
      </c>
      <c r="F185" s="4" t="s">
        <v>21</v>
      </c>
      <c r="G185" s="4">
        <v>11</v>
      </c>
      <c r="H185" s="5">
        <v>23900</v>
      </c>
      <c r="I185" s="5">
        <v>262900</v>
      </c>
      <c r="J185" s="6">
        <v>0</v>
      </c>
      <c r="K185" s="5">
        <v>262900</v>
      </c>
      <c r="L185" s="5">
        <v>339000</v>
      </c>
      <c r="M185" s="10">
        <v>0.77551622418879096</v>
      </c>
    </row>
    <row r="186" spans="1:13" x14ac:dyDescent="0.25">
      <c r="A186" s="7">
        <v>1185</v>
      </c>
      <c r="B186" s="1" t="s">
        <v>42</v>
      </c>
      <c r="C186" s="1" t="s">
        <v>43</v>
      </c>
      <c r="D186" s="1" t="s">
        <v>15</v>
      </c>
      <c r="E186" s="1" t="s">
        <v>16</v>
      </c>
      <c r="F186" s="1" t="s">
        <v>22</v>
      </c>
      <c r="G186" s="1">
        <v>28</v>
      </c>
      <c r="H186" s="2">
        <v>4400</v>
      </c>
      <c r="I186" s="2">
        <v>123200</v>
      </c>
      <c r="J186" s="3">
        <v>0.05</v>
      </c>
      <c r="K186" s="2">
        <v>117040</v>
      </c>
      <c r="L186" s="2">
        <v>101000</v>
      </c>
      <c r="M186" s="9">
        <v>1.21980198019802</v>
      </c>
    </row>
    <row r="187" spans="1:13" x14ac:dyDescent="0.25">
      <c r="A187" s="8">
        <v>1186</v>
      </c>
      <c r="B187" s="4" t="s">
        <v>42</v>
      </c>
      <c r="C187" s="4" t="s">
        <v>43</v>
      </c>
      <c r="D187" s="4" t="s">
        <v>23</v>
      </c>
      <c r="E187" s="4" t="s">
        <v>25</v>
      </c>
      <c r="F187" s="4" t="s">
        <v>17</v>
      </c>
      <c r="G187" s="4">
        <v>9</v>
      </c>
      <c r="H187" s="5">
        <v>63500</v>
      </c>
      <c r="I187" s="5">
        <v>571500</v>
      </c>
      <c r="J187" s="6">
        <v>0.15</v>
      </c>
      <c r="K187" s="5">
        <v>485775</v>
      </c>
      <c r="L187" s="5">
        <v>684000</v>
      </c>
      <c r="M187" s="10">
        <v>0.83552631578947401</v>
      </c>
    </row>
    <row r="188" spans="1:13" x14ac:dyDescent="0.25">
      <c r="A188" s="7">
        <v>1187</v>
      </c>
      <c r="B188" s="1" t="s">
        <v>42</v>
      </c>
      <c r="C188" s="1" t="s">
        <v>43</v>
      </c>
      <c r="D188" s="1" t="s">
        <v>23</v>
      </c>
      <c r="E188" s="1" t="s">
        <v>24</v>
      </c>
      <c r="F188" s="1" t="s">
        <v>18</v>
      </c>
      <c r="G188" s="1">
        <v>12</v>
      </c>
      <c r="H188" s="2">
        <v>35000</v>
      </c>
      <c r="I188" s="2">
        <v>420000</v>
      </c>
      <c r="J188" s="3">
        <v>0</v>
      </c>
      <c r="K188" s="2">
        <v>420000</v>
      </c>
      <c r="L188" s="2">
        <v>441000</v>
      </c>
      <c r="M188" s="9">
        <v>0.952380952380952</v>
      </c>
    </row>
    <row r="189" spans="1:13" x14ac:dyDescent="0.25">
      <c r="A189" s="8">
        <v>1188</v>
      </c>
      <c r="B189" s="4" t="s">
        <v>42</v>
      </c>
      <c r="C189" s="4" t="s">
        <v>43</v>
      </c>
      <c r="D189" s="4" t="s">
        <v>23</v>
      </c>
      <c r="E189" s="4" t="s">
        <v>25</v>
      </c>
      <c r="F189" s="4" t="s">
        <v>20</v>
      </c>
      <c r="G189" s="4">
        <v>11</v>
      </c>
      <c r="H189" s="5">
        <v>19300</v>
      </c>
      <c r="I189" s="5">
        <v>212300</v>
      </c>
      <c r="J189" s="6">
        <v>0.05</v>
      </c>
      <c r="K189" s="5">
        <v>201685</v>
      </c>
      <c r="L189" s="5">
        <v>180000</v>
      </c>
      <c r="M189" s="10">
        <v>1.1794444444444401</v>
      </c>
    </row>
    <row r="190" spans="1:13" x14ac:dyDescent="0.25">
      <c r="A190" s="7">
        <v>1189</v>
      </c>
      <c r="B190" s="1" t="s">
        <v>42</v>
      </c>
      <c r="C190" s="1" t="s">
        <v>43</v>
      </c>
      <c r="D190" s="1" t="s">
        <v>23</v>
      </c>
      <c r="E190" s="1" t="s">
        <v>25</v>
      </c>
      <c r="F190" s="1" t="s">
        <v>21</v>
      </c>
      <c r="G190" s="1">
        <v>4</v>
      </c>
      <c r="H190" s="2">
        <v>23000</v>
      </c>
      <c r="I190" s="2">
        <v>92000</v>
      </c>
      <c r="J190" s="3">
        <v>0.05</v>
      </c>
      <c r="K190" s="2">
        <v>87400</v>
      </c>
      <c r="L190" s="2">
        <v>114000</v>
      </c>
      <c r="M190" s="9">
        <v>0.80701754385964897</v>
      </c>
    </row>
    <row r="191" spans="1:13" x14ac:dyDescent="0.25">
      <c r="A191" s="8">
        <v>1190</v>
      </c>
      <c r="B191" s="4" t="s">
        <v>42</v>
      </c>
      <c r="C191" s="4" t="s">
        <v>43</v>
      </c>
      <c r="D191" s="4" t="s">
        <v>23</v>
      </c>
      <c r="E191" s="4" t="s">
        <v>24</v>
      </c>
      <c r="F191" s="4" t="s">
        <v>22</v>
      </c>
      <c r="G191" s="4">
        <v>12</v>
      </c>
      <c r="H191" s="5">
        <v>4500</v>
      </c>
      <c r="I191" s="5">
        <v>54000</v>
      </c>
      <c r="J191" s="6">
        <v>0.05</v>
      </c>
      <c r="K191" s="5">
        <v>51300</v>
      </c>
      <c r="L191" s="5">
        <v>52000</v>
      </c>
      <c r="M191" s="10">
        <v>1.0384615384615401</v>
      </c>
    </row>
    <row r="192" spans="1:13" x14ac:dyDescent="0.25">
      <c r="A192" s="7">
        <v>1191</v>
      </c>
      <c r="B192" s="1" t="s">
        <v>42</v>
      </c>
      <c r="C192" s="1" t="s">
        <v>43</v>
      </c>
      <c r="D192" s="1" t="s">
        <v>26</v>
      </c>
      <c r="E192" s="1" t="s">
        <v>28</v>
      </c>
      <c r="F192" s="1" t="s">
        <v>17</v>
      </c>
      <c r="G192" s="1">
        <v>4</v>
      </c>
      <c r="H192" s="2">
        <v>69600</v>
      </c>
      <c r="I192" s="2">
        <v>278400</v>
      </c>
      <c r="J192" s="3">
        <v>0.15</v>
      </c>
      <c r="K192" s="2">
        <v>236640</v>
      </c>
      <c r="L192" s="2">
        <v>342000</v>
      </c>
      <c r="M192" s="9">
        <v>0.814035087719298</v>
      </c>
    </row>
    <row r="193" spans="1:13" x14ac:dyDescent="0.25">
      <c r="A193" s="8">
        <v>1192</v>
      </c>
      <c r="B193" s="4" t="s">
        <v>42</v>
      </c>
      <c r="C193" s="4" t="s">
        <v>43</v>
      </c>
      <c r="D193" s="4" t="s">
        <v>26</v>
      </c>
      <c r="E193" s="4" t="s">
        <v>28</v>
      </c>
      <c r="F193" s="4" t="s">
        <v>18</v>
      </c>
      <c r="G193" s="4">
        <v>10</v>
      </c>
      <c r="H193" s="5">
        <v>32800</v>
      </c>
      <c r="I193" s="5">
        <v>328000</v>
      </c>
      <c r="J193" s="6">
        <v>0.05</v>
      </c>
      <c r="K193" s="5">
        <v>311600</v>
      </c>
      <c r="L193" s="5">
        <v>405000</v>
      </c>
      <c r="M193" s="10">
        <v>0.80987654320987701</v>
      </c>
    </row>
    <row r="194" spans="1:13" x14ac:dyDescent="0.25">
      <c r="A194" s="7">
        <v>1193</v>
      </c>
      <c r="B194" s="1" t="s">
        <v>42</v>
      </c>
      <c r="C194" s="1" t="s">
        <v>43</v>
      </c>
      <c r="D194" s="1" t="s">
        <v>26</v>
      </c>
      <c r="E194" s="1" t="s">
        <v>27</v>
      </c>
      <c r="F194" s="1" t="s">
        <v>20</v>
      </c>
      <c r="G194" s="1">
        <v>10</v>
      </c>
      <c r="H194" s="2">
        <v>17000</v>
      </c>
      <c r="I194" s="2">
        <v>170000</v>
      </c>
      <c r="J194" s="3">
        <v>0.15</v>
      </c>
      <c r="K194" s="2">
        <v>144500</v>
      </c>
      <c r="L194" s="2">
        <v>214000</v>
      </c>
      <c r="M194" s="9">
        <v>0.79439252336448596</v>
      </c>
    </row>
    <row r="195" spans="1:13" x14ac:dyDescent="0.25">
      <c r="A195" s="8">
        <v>1194</v>
      </c>
      <c r="B195" s="4" t="s">
        <v>42</v>
      </c>
      <c r="C195" s="4" t="s">
        <v>43</v>
      </c>
      <c r="D195" s="4" t="s">
        <v>26</v>
      </c>
      <c r="E195" s="4" t="s">
        <v>27</v>
      </c>
      <c r="F195" s="4" t="s">
        <v>21</v>
      </c>
      <c r="G195" s="4">
        <v>15</v>
      </c>
      <c r="H195" s="5">
        <v>20200</v>
      </c>
      <c r="I195" s="5">
        <v>303000</v>
      </c>
      <c r="J195" s="6">
        <v>0</v>
      </c>
      <c r="K195" s="5">
        <v>303000</v>
      </c>
      <c r="L195" s="5">
        <v>358000</v>
      </c>
      <c r="M195" s="10">
        <v>0.84636871508379896</v>
      </c>
    </row>
    <row r="196" spans="1:13" x14ac:dyDescent="0.25">
      <c r="A196" s="7">
        <v>1195</v>
      </c>
      <c r="B196" s="1" t="s">
        <v>42</v>
      </c>
      <c r="C196" s="1" t="s">
        <v>43</v>
      </c>
      <c r="D196" s="1" t="s">
        <v>26</v>
      </c>
      <c r="E196" s="1" t="s">
        <v>27</v>
      </c>
      <c r="F196" s="1" t="s">
        <v>22</v>
      </c>
      <c r="G196" s="1">
        <v>24</v>
      </c>
      <c r="H196" s="2">
        <v>4200</v>
      </c>
      <c r="I196" s="2">
        <v>100800</v>
      </c>
      <c r="J196" s="3">
        <v>0.05</v>
      </c>
      <c r="K196" s="2">
        <v>95760</v>
      </c>
      <c r="L196" s="2">
        <v>126000</v>
      </c>
      <c r="M196" s="9">
        <v>0.8</v>
      </c>
    </row>
    <row r="197" spans="1:13" x14ac:dyDescent="0.25">
      <c r="A197" s="8">
        <v>1196</v>
      </c>
      <c r="B197" s="4" t="s">
        <v>42</v>
      </c>
      <c r="C197" s="4" t="s">
        <v>43</v>
      </c>
      <c r="D197" s="4" t="s">
        <v>29</v>
      </c>
      <c r="E197" s="4" t="s">
        <v>30</v>
      </c>
      <c r="F197" s="4" t="s">
        <v>17</v>
      </c>
      <c r="G197" s="4">
        <v>8</v>
      </c>
      <c r="H197" s="5">
        <v>68800</v>
      </c>
      <c r="I197" s="5">
        <v>550400</v>
      </c>
      <c r="J197" s="6">
        <v>0.05</v>
      </c>
      <c r="K197" s="5">
        <v>522880</v>
      </c>
      <c r="L197" s="5">
        <v>539000</v>
      </c>
      <c r="M197" s="10">
        <v>1.0211502782931401</v>
      </c>
    </row>
    <row r="198" spans="1:13" x14ac:dyDescent="0.25">
      <c r="A198" s="7">
        <v>1197</v>
      </c>
      <c r="B198" s="1" t="s">
        <v>42</v>
      </c>
      <c r="C198" s="1" t="s">
        <v>43</v>
      </c>
      <c r="D198" s="1" t="s">
        <v>29</v>
      </c>
      <c r="E198" s="1" t="s">
        <v>31</v>
      </c>
      <c r="F198" s="1" t="s">
        <v>18</v>
      </c>
      <c r="G198" s="1">
        <v>7</v>
      </c>
      <c r="H198" s="2">
        <v>30400</v>
      </c>
      <c r="I198" s="2">
        <v>212800</v>
      </c>
      <c r="J198" s="3">
        <v>0.05</v>
      </c>
      <c r="K198" s="2">
        <v>202160</v>
      </c>
      <c r="L198" s="2">
        <v>230000</v>
      </c>
      <c r="M198" s="9">
        <v>0.92521739130434799</v>
      </c>
    </row>
    <row r="199" spans="1:13" x14ac:dyDescent="0.25">
      <c r="A199" s="8">
        <v>1198</v>
      </c>
      <c r="B199" s="4" t="s">
        <v>42</v>
      </c>
      <c r="C199" s="4" t="s">
        <v>43</v>
      </c>
      <c r="D199" s="4" t="s">
        <v>29</v>
      </c>
      <c r="E199" s="4" t="s">
        <v>30</v>
      </c>
      <c r="F199" s="4" t="s">
        <v>20</v>
      </c>
      <c r="G199" s="4">
        <v>13</v>
      </c>
      <c r="H199" s="5">
        <v>16800</v>
      </c>
      <c r="I199" s="5">
        <v>218400</v>
      </c>
      <c r="J199" s="6">
        <v>0.1</v>
      </c>
      <c r="K199" s="5">
        <v>196560</v>
      </c>
      <c r="L199" s="5">
        <v>270000</v>
      </c>
      <c r="M199" s="10">
        <v>0.80888888888888899</v>
      </c>
    </row>
    <row r="200" spans="1:13" x14ac:dyDescent="0.25">
      <c r="A200" s="7">
        <v>1199</v>
      </c>
      <c r="B200" s="1" t="s">
        <v>42</v>
      </c>
      <c r="C200" s="1" t="s">
        <v>43</v>
      </c>
      <c r="D200" s="1" t="s">
        <v>29</v>
      </c>
      <c r="E200" s="1" t="s">
        <v>30</v>
      </c>
      <c r="F200" s="1" t="s">
        <v>21</v>
      </c>
      <c r="G200" s="1">
        <v>11</v>
      </c>
      <c r="H200" s="2">
        <v>23800</v>
      </c>
      <c r="I200" s="2">
        <v>261800</v>
      </c>
      <c r="J200" s="3">
        <v>0</v>
      </c>
      <c r="K200" s="2">
        <v>261800</v>
      </c>
      <c r="L200" s="2">
        <v>240000</v>
      </c>
      <c r="M200" s="9">
        <v>1.09083333333333</v>
      </c>
    </row>
    <row r="201" spans="1:13" x14ac:dyDescent="0.25">
      <c r="A201" s="8">
        <v>1200</v>
      </c>
      <c r="B201" s="4" t="s">
        <v>42</v>
      </c>
      <c r="C201" s="4" t="s">
        <v>43</v>
      </c>
      <c r="D201" s="4" t="s">
        <v>29</v>
      </c>
      <c r="E201" s="4" t="s">
        <v>31</v>
      </c>
      <c r="F201" s="4" t="s">
        <v>22</v>
      </c>
      <c r="G201" s="4">
        <v>24</v>
      </c>
      <c r="H201" s="5">
        <v>4300</v>
      </c>
      <c r="I201" s="5">
        <v>103200</v>
      </c>
      <c r="J201" s="6">
        <v>0</v>
      </c>
      <c r="K201" s="5">
        <v>103200</v>
      </c>
      <c r="L201" s="5">
        <v>129000</v>
      </c>
      <c r="M201" s="10">
        <v>0.8</v>
      </c>
    </row>
    <row r="202" spans="1:13" x14ac:dyDescent="0.25">
      <c r="A202" s="7">
        <v>1201</v>
      </c>
      <c r="B202" s="1" t="s">
        <v>44</v>
      </c>
      <c r="C202" s="1" t="s">
        <v>43</v>
      </c>
      <c r="D202" s="1" t="s">
        <v>15</v>
      </c>
      <c r="E202" s="1" t="s">
        <v>19</v>
      </c>
      <c r="F202" s="1" t="s">
        <v>17</v>
      </c>
      <c r="G202" s="1">
        <v>7</v>
      </c>
      <c r="H202" s="2">
        <v>67300</v>
      </c>
      <c r="I202" s="2">
        <v>471100</v>
      </c>
      <c r="J202" s="3">
        <v>0</v>
      </c>
      <c r="K202" s="2">
        <v>471100</v>
      </c>
      <c r="L202" s="2">
        <v>394000</v>
      </c>
      <c r="M202" s="9">
        <v>1.1956852791878201</v>
      </c>
    </row>
    <row r="203" spans="1:13" x14ac:dyDescent="0.25">
      <c r="A203" s="8">
        <v>1202</v>
      </c>
      <c r="B203" s="4" t="s">
        <v>44</v>
      </c>
      <c r="C203" s="4" t="s">
        <v>43</v>
      </c>
      <c r="D203" s="4" t="s">
        <v>15</v>
      </c>
      <c r="E203" s="4" t="s">
        <v>19</v>
      </c>
      <c r="F203" s="4" t="s">
        <v>18</v>
      </c>
      <c r="G203" s="4">
        <v>14</v>
      </c>
      <c r="H203" s="5">
        <v>30700</v>
      </c>
      <c r="I203" s="5">
        <v>429800</v>
      </c>
      <c r="J203" s="6">
        <v>0.05</v>
      </c>
      <c r="K203" s="5">
        <v>408310</v>
      </c>
      <c r="L203" s="5">
        <v>492000</v>
      </c>
      <c r="M203" s="10">
        <v>0.87357723577235802</v>
      </c>
    </row>
    <row r="204" spans="1:13" x14ac:dyDescent="0.25">
      <c r="A204" s="7">
        <v>1203</v>
      </c>
      <c r="B204" s="1" t="s">
        <v>44</v>
      </c>
      <c r="C204" s="1" t="s">
        <v>43</v>
      </c>
      <c r="D204" s="1" t="s">
        <v>15</v>
      </c>
      <c r="E204" s="1" t="s">
        <v>19</v>
      </c>
      <c r="F204" s="1" t="s">
        <v>20</v>
      </c>
      <c r="G204" s="1">
        <v>17</v>
      </c>
      <c r="H204" s="2">
        <v>16900</v>
      </c>
      <c r="I204" s="2">
        <v>287300</v>
      </c>
      <c r="J204" s="3">
        <v>0.05</v>
      </c>
      <c r="K204" s="2">
        <v>272935</v>
      </c>
      <c r="L204" s="2">
        <v>352000</v>
      </c>
      <c r="M204" s="9">
        <v>0.81619318181818201</v>
      </c>
    </row>
    <row r="205" spans="1:13" x14ac:dyDescent="0.25">
      <c r="A205" s="8">
        <v>1204</v>
      </c>
      <c r="B205" s="4" t="s">
        <v>44</v>
      </c>
      <c r="C205" s="4" t="s">
        <v>43</v>
      </c>
      <c r="D205" s="4" t="s">
        <v>15</v>
      </c>
      <c r="E205" s="4" t="s">
        <v>16</v>
      </c>
      <c r="F205" s="4" t="s">
        <v>21</v>
      </c>
      <c r="G205" s="4">
        <v>7</v>
      </c>
      <c r="H205" s="5">
        <v>21500</v>
      </c>
      <c r="I205" s="5">
        <v>150500</v>
      </c>
      <c r="J205" s="6">
        <v>0.05</v>
      </c>
      <c r="K205" s="5">
        <v>142975</v>
      </c>
      <c r="L205" s="5">
        <v>164000</v>
      </c>
      <c r="M205" s="10">
        <v>0.917682926829268</v>
      </c>
    </row>
    <row r="206" spans="1:13" x14ac:dyDescent="0.25">
      <c r="A206" s="7">
        <v>1205</v>
      </c>
      <c r="B206" s="1" t="s">
        <v>44</v>
      </c>
      <c r="C206" s="1" t="s">
        <v>43</v>
      </c>
      <c r="D206" s="1" t="s">
        <v>15</v>
      </c>
      <c r="E206" s="1" t="s">
        <v>19</v>
      </c>
      <c r="F206" s="1" t="s">
        <v>22</v>
      </c>
      <c r="G206" s="1">
        <v>10</v>
      </c>
      <c r="H206" s="2">
        <v>4900</v>
      </c>
      <c r="I206" s="2">
        <v>49000</v>
      </c>
      <c r="J206" s="3">
        <v>0.15</v>
      </c>
      <c r="K206" s="2">
        <v>41650</v>
      </c>
      <c r="L206" s="2">
        <v>49000</v>
      </c>
      <c r="M206" s="9">
        <v>1</v>
      </c>
    </row>
    <row r="207" spans="1:13" x14ac:dyDescent="0.25">
      <c r="A207" s="8">
        <v>1206</v>
      </c>
      <c r="B207" s="4" t="s">
        <v>44</v>
      </c>
      <c r="C207" s="4" t="s">
        <v>43</v>
      </c>
      <c r="D207" s="4" t="s">
        <v>23</v>
      </c>
      <c r="E207" s="4" t="s">
        <v>24</v>
      </c>
      <c r="F207" s="4" t="s">
        <v>17</v>
      </c>
      <c r="G207" s="4">
        <v>12</v>
      </c>
      <c r="H207" s="5">
        <v>69700</v>
      </c>
      <c r="I207" s="5">
        <v>836400</v>
      </c>
      <c r="J207" s="6">
        <v>0.15</v>
      </c>
      <c r="K207" s="5">
        <v>710940</v>
      </c>
      <c r="L207" s="5">
        <v>1076000</v>
      </c>
      <c r="M207" s="10">
        <v>0.77732342007434896</v>
      </c>
    </row>
    <row r="208" spans="1:13" x14ac:dyDescent="0.25">
      <c r="A208" s="7">
        <v>1207</v>
      </c>
      <c r="B208" s="1" t="s">
        <v>44</v>
      </c>
      <c r="C208" s="1" t="s">
        <v>43</v>
      </c>
      <c r="D208" s="1" t="s">
        <v>23</v>
      </c>
      <c r="E208" s="1" t="s">
        <v>25</v>
      </c>
      <c r="F208" s="1" t="s">
        <v>18</v>
      </c>
      <c r="G208" s="1">
        <v>18</v>
      </c>
      <c r="H208" s="2">
        <v>34600</v>
      </c>
      <c r="I208" s="2">
        <v>622800</v>
      </c>
      <c r="J208" s="3">
        <v>0.05</v>
      </c>
      <c r="K208" s="2">
        <v>591660</v>
      </c>
      <c r="L208" s="2">
        <v>740000</v>
      </c>
      <c r="M208" s="9">
        <v>0.84162162162162202</v>
      </c>
    </row>
    <row r="209" spans="1:13" x14ac:dyDescent="0.25">
      <c r="A209" s="8">
        <v>1208</v>
      </c>
      <c r="B209" s="4" t="s">
        <v>44</v>
      </c>
      <c r="C209" s="4" t="s">
        <v>43</v>
      </c>
      <c r="D209" s="4" t="s">
        <v>23</v>
      </c>
      <c r="E209" s="4" t="s">
        <v>24</v>
      </c>
      <c r="F209" s="4" t="s">
        <v>20</v>
      </c>
      <c r="G209" s="4">
        <v>19</v>
      </c>
      <c r="H209" s="5">
        <v>17000</v>
      </c>
      <c r="I209" s="5">
        <v>323000</v>
      </c>
      <c r="J209" s="6">
        <v>0</v>
      </c>
      <c r="K209" s="5">
        <v>323000</v>
      </c>
      <c r="L209" s="5">
        <v>359000</v>
      </c>
      <c r="M209" s="10">
        <v>0.89972144846796698</v>
      </c>
    </row>
    <row r="210" spans="1:13" x14ac:dyDescent="0.25">
      <c r="A210" s="7">
        <v>1209</v>
      </c>
      <c r="B210" s="1" t="s">
        <v>44</v>
      </c>
      <c r="C210" s="1" t="s">
        <v>43</v>
      </c>
      <c r="D210" s="1" t="s">
        <v>23</v>
      </c>
      <c r="E210" s="1" t="s">
        <v>24</v>
      </c>
      <c r="F210" s="1" t="s">
        <v>21</v>
      </c>
      <c r="G210" s="1">
        <v>14</v>
      </c>
      <c r="H210" s="2">
        <v>20200</v>
      </c>
      <c r="I210" s="2">
        <v>282800</v>
      </c>
      <c r="J210" s="3">
        <v>0.15</v>
      </c>
      <c r="K210" s="2">
        <v>240380</v>
      </c>
      <c r="L210" s="2">
        <v>318000</v>
      </c>
      <c r="M210" s="9">
        <v>0.88930817610062896</v>
      </c>
    </row>
    <row r="211" spans="1:13" x14ac:dyDescent="0.25">
      <c r="A211" s="8">
        <v>1210</v>
      </c>
      <c r="B211" s="4" t="s">
        <v>44</v>
      </c>
      <c r="C211" s="4" t="s">
        <v>43</v>
      </c>
      <c r="D211" s="4" t="s">
        <v>23</v>
      </c>
      <c r="E211" s="4" t="s">
        <v>25</v>
      </c>
      <c r="F211" s="4" t="s">
        <v>22</v>
      </c>
      <c r="G211" s="4">
        <v>35</v>
      </c>
      <c r="H211" s="5">
        <v>4400</v>
      </c>
      <c r="I211" s="5">
        <v>154000</v>
      </c>
      <c r="J211" s="6">
        <v>0.1</v>
      </c>
      <c r="K211" s="5">
        <v>138600</v>
      </c>
      <c r="L211" s="5">
        <v>151000</v>
      </c>
      <c r="M211" s="10">
        <v>1.0198675496688701</v>
      </c>
    </row>
    <row r="212" spans="1:13" x14ac:dyDescent="0.25">
      <c r="A212" s="7">
        <v>1211</v>
      </c>
      <c r="B212" s="1" t="s">
        <v>44</v>
      </c>
      <c r="C212" s="1" t="s">
        <v>43</v>
      </c>
      <c r="D212" s="1" t="s">
        <v>26</v>
      </c>
      <c r="E212" s="1" t="s">
        <v>27</v>
      </c>
      <c r="F212" s="1" t="s">
        <v>17</v>
      </c>
      <c r="G212" s="1">
        <v>4</v>
      </c>
      <c r="H212" s="2">
        <v>70300</v>
      </c>
      <c r="I212" s="2">
        <v>281200</v>
      </c>
      <c r="J212" s="3">
        <v>0.05</v>
      </c>
      <c r="K212" s="2">
        <v>267140</v>
      </c>
      <c r="L212" s="2">
        <v>330000</v>
      </c>
      <c r="M212" s="9">
        <v>0.85212121212121195</v>
      </c>
    </row>
    <row r="213" spans="1:13" x14ac:dyDescent="0.25">
      <c r="A213" s="8">
        <v>1212</v>
      </c>
      <c r="B213" s="4" t="s">
        <v>44</v>
      </c>
      <c r="C213" s="4" t="s">
        <v>43</v>
      </c>
      <c r="D213" s="4" t="s">
        <v>26</v>
      </c>
      <c r="E213" s="4" t="s">
        <v>27</v>
      </c>
      <c r="F213" s="4" t="s">
        <v>18</v>
      </c>
      <c r="G213" s="4">
        <v>8</v>
      </c>
      <c r="H213" s="5">
        <v>29600</v>
      </c>
      <c r="I213" s="5">
        <v>236800</v>
      </c>
      <c r="J213" s="6">
        <v>0.1</v>
      </c>
      <c r="K213" s="5">
        <v>213120</v>
      </c>
      <c r="L213" s="5">
        <v>293000</v>
      </c>
      <c r="M213" s="10">
        <v>0.808191126279863</v>
      </c>
    </row>
    <row r="214" spans="1:13" x14ac:dyDescent="0.25">
      <c r="A214" s="7">
        <v>1213</v>
      </c>
      <c r="B214" s="1" t="s">
        <v>44</v>
      </c>
      <c r="C214" s="1" t="s">
        <v>43</v>
      </c>
      <c r="D214" s="1" t="s">
        <v>26</v>
      </c>
      <c r="E214" s="1" t="s">
        <v>28</v>
      </c>
      <c r="F214" s="1" t="s">
        <v>20</v>
      </c>
      <c r="G214" s="1">
        <v>24</v>
      </c>
      <c r="H214" s="2">
        <v>18000</v>
      </c>
      <c r="I214" s="2">
        <v>432000</v>
      </c>
      <c r="J214" s="3">
        <v>0.05</v>
      </c>
      <c r="K214" s="2">
        <v>410400</v>
      </c>
      <c r="L214" s="2">
        <v>525000</v>
      </c>
      <c r="M214" s="9">
        <v>0.82285714285714295</v>
      </c>
    </row>
    <row r="215" spans="1:13" x14ac:dyDescent="0.25">
      <c r="A215" s="8">
        <v>1214</v>
      </c>
      <c r="B215" s="4" t="s">
        <v>44</v>
      </c>
      <c r="C215" s="4" t="s">
        <v>43</v>
      </c>
      <c r="D215" s="4" t="s">
        <v>26</v>
      </c>
      <c r="E215" s="4" t="s">
        <v>28</v>
      </c>
      <c r="F215" s="4" t="s">
        <v>21</v>
      </c>
      <c r="G215" s="4">
        <v>11</v>
      </c>
      <c r="H215" s="5">
        <v>24100</v>
      </c>
      <c r="I215" s="5">
        <v>265100</v>
      </c>
      <c r="J215" s="6">
        <v>0.05</v>
      </c>
      <c r="K215" s="5">
        <v>251845</v>
      </c>
      <c r="L215" s="5">
        <v>311000</v>
      </c>
      <c r="M215" s="10">
        <v>0.85241157556270097</v>
      </c>
    </row>
    <row r="216" spans="1:13" x14ac:dyDescent="0.25">
      <c r="A216" s="7">
        <v>1215</v>
      </c>
      <c r="B216" s="1" t="s">
        <v>44</v>
      </c>
      <c r="C216" s="1" t="s">
        <v>43</v>
      </c>
      <c r="D216" s="1" t="s">
        <v>26</v>
      </c>
      <c r="E216" s="1" t="s">
        <v>28</v>
      </c>
      <c r="F216" s="1" t="s">
        <v>22</v>
      </c>
      <c r="G216" s="1">
        <v>35</v>
      </c>
      <c r="H216" s="2">
        <v>4200</v>
      </c>
      <c r="I216" s="2">
        <v>147000</v>
      </c>
      <c r="J216" s="3">
        <v>0</v>
      </c>
      <c r="K216" s="2">
        <v>147000</v>
      </c>
      <c r="L216" s="2">
        <v>128000</v>
      </c>
      <c r="M216" s="9">
        <v>1.1484375</v>
      </c>
    </row>
    <row r="217" spans="1:13" x14ac:dyDescent="0.25">
      <c r="A217" s="8">
        <v>1216</v>
      </c>
      <c r="B217" s="4" t="s">
        <v>44</v>
      </c>
      <c r="C217" s="4" t="s">
        <v>43</v>
      </c>
      <c r="D217" s="4" t="s">
        <v>29</v>
      </c>
      <c r="E217" s="4" t="s">
        <v>30</v>
      </c>
      <c r="F217" s="4" t="s">
        <v>17</v>
      </c>
      <c r="G217" s="4">
        <v>9</v>
      </c>
      <c r="H217" s="5">
        <v>71100</v>
      </c>
      <c r="I217" s="5">
        <v>639900</v>
      </c>
      <c r="J217" s="6">
        <v>0.1</v>
      </c>
      <c r="K217" s="5">
        <v>575910</v>
      </c>
      <c r="L217" s="5">
        <v>629000</v>
      </c>
      <c r="M217" s="10">
        <v>1.01732909379968</v>
      </c>
    </row>
    <row r="218" spans="1:13" x14ac:dyDescent="0.25">
      <c r="A218" s="7">
        <v>1217</v>
      </c>
      <c r="B218" s="1" t="s">
        <v>44</v>
      </c>
      <c r="C218" s="1" t="s">
        <v>43</v>
      </c>
      <c r="D218" s="1" t="s">
        <v>29</v>
      </c>
      <c r="E218" s="1" t="s">
        <v>31</v>
      </c>
      <c r="F218" s="1" t="s">
        <v>18</v>
      </c>
      <c r="G218" s="1">
        <v>5</v>
      </c>
      <c r="H218" s="2">
        <v>30500</v>
      </c>
      <c r="I218" s="2">
        <v>152500</v>
      </c>
      <c r="J218" s="3">
        <v>0</v>
      </c>
      <c r="K218" s="2">
        <v>152500</v>
      </c>
      <c r="L218" s="2">
        <v>157000</v>
      </c>
      <c r="M218" s="9">
        <v>0.97133757961783396</v>
      </c>
    </row>
    <row r="219" spans="1:13" x14ac:dyDescent="0.25">
      <c r="A219" s="8">
        <v>1218</v>
      </c>
      <c r="B219" s="4" t="s">
        <v>44</v>
      </c>
      <c r="C219" s="4" t="s">
        <v>43</v>
      </c>
      <c r="D219" s="4" t="s">
        <v>29</v>
      </c>
      <c r="E219" s="4" t="s">
        <v>31</v>
      </c>
      <c r="F219" s="4" t="s">
        <v>20</v>
      </c>
      <c r="G219" s="4">
        <v>20</v>
      </c>
      <c r="H219" s="5">
        <v>19200</v>
      </c>
      <c r="I219" s="5">
        <v>384000</v>
      </c>
      <c r="J219" s="6">
        <v>0.05</v>
      </c>
      <c r="K219" s="5">
        <v>364800</v>
      </c>
      <c r="L219" s="5">
        <v>328000</v>
      </c>
      <c r="M219" s="10">
        <v>1.17073170731707</v>
      </c>
    </row>
    <row r="220" spans="1:13" x14ac:dyDescent="0.25">
      <c r="A220" s="7">
        <v>1219</v>
      </c>
      <c r="B220" s="1" t="s">
        <v>44</v>
      </c>
      <c r="C220" s="1" t="s">
        <v>43</v>
      </c>
      <c r="D220" s="1" t="s">
        <v>29</v>
      </c>
      <c r="E220" s="1" t="s">
        <v>30</v>
      </c>
      <c r="F220" s="1" t="s">
        <v>21</v>
      </c>
      <c r="G220" s="1">
        <v>11</v>
      </c>
      <c r="H220" s="2">
        <v>19900</v>
      </c>
      <c r="I220" s="2">
        <v>218900</v>
      </c>
      <c r="J220" s="3">
        <v>0.1</v>
      </c>
      <c r="K220" s="2">
        <v>197010</v>
      </c>
      <c r="L220" s="2">
        <v>211000</v>
      </c>
      <c r="M220" s="9">
        <v>1.0374407582938401</v>
      </c>
    </row>
    <row r="221" spans="1:13" x14ac:dyDescent="0.25">
      <c r="A221" s="8">
        <v>1220</v>
      </c>
      <c r="B221" s="4" t="s">
        <v>44</v>
      </c>
      <c r="C221" s="4" t="s">
        <v>43</v>
      </c>
      <c r="D221" s="4" t="s">
        <v>29</v>
      </c>
      <c r="E221" s="4" t="s">
        <v>30</v>
      </c>
      <c r="F221" s="4" t="s">
        <v>22</v>
      </c>
      <c r="G221" s="4">
        <v>30</v>
      </c>
      <c r="H221" s="5">
        <v>4100</v>
      </c>
      <c r="I221" s="5">
        <v>123000</v>
      </c>
      <c r="J221" s="6">
        <v>0.05</v>
      </c>
      <c r="K221" s="5">
        <v>116850</v>
      </c>
      <c r="L221" s="5">
        <v>154000</v>
      </c>
      <c r="M221" s="10">
        <v>0.79870129870129902</v>
      </c>
    </row>
    <row r="222" spans="1:13" x14ac:dyDescent="0.25">
      <c r="A222" s="7">
        <v>1221</v>
      </c>
      <c r="B222" s="1" t="s">
        <v>45</v>
      </c>
      <c r="C222" s="1" t="s">
        <v>43</v>
      </c>
      <c r="D222" s="1" t="s">
        <v>15</v>
      </c>
      <c r="E222" s="1" t="s">
        <v>19</v>
      </c>
      <c r="F222" s="1" t="s">
        <v>17</v>
      </c>
      <c r="G222" s="1">
        <v>9</v>
      </c>
      <c r="H222" s="2">
        <v>60000</v>
      </c>
      <c r="I222" s="2">
        <v>540000</v>
      </c>
      <c r="J222" s="3">
        <v>0</v>
      </c>
      <c r="K222" s="2">
        <v>540000</v>
      </c>
      <c r="L222" s="2">
        <v>687000</v>
      </c>
      <c r="M222" s="9">
        <v>0.78602620087336195</v>
      </c>
    </row>
    <row r="223" spans="1:13" x14ac:dyDescent="0.25">
      <c r="A223" s="8">
        <v>1222</v>
      </c>
      <c r="B223" s="4" t="s">
        <v>45</v>
      </c>
      <c r="C223" s="4" t="s">
        <v>43</v>
      </c>
      <c r="D223" s="4" t="s">
        <v>15</v>
      </c>
      <c r="E223" s="4" t="s">
        <v>19</v>
      </c>
      <c r="F223" s="4" t="s">
        <v>18</v>
      </c>
      <c r="G223" s="4">
        <v>12</v>
      </c>
      <c r="H223" s="5">
        <v>29500</v>
      </c>
      <c r="I223" s="5">
        <v>354000</v>
      </c>
      <c r="J223" s="6">
        <v>0</v>
      </c>
      <c r="K223" s="5">
        <v>354000</v>
      </c>
      <c r="L223" s="5">
        <v>440000</v>
      </c>
      <c r="M223" s="10">
        <v>0.80454545454545501</v>
      </c>
    </row>
    <row r="224" spans="1:13" x14ac:dyDescent="0.25">
      <c r="A224" s="7">
        <v>1223</v>
      </c>
      <c r="B224" s="1" t="s">
        <v>45</v>
      </c>
      <c r="C224" s="1" t="s">
        <v>43</v>
      </c>
      <c r="D224" s="1" t="s">
        <v>15</v>
      </c>
      <c r="E224" s="1" t="s">
        <v>16</v>
      </c>
      <c r="F224" s="1" t="s">
        <v>20</v>
      </c>
      <c r="G224" s="1">
        <v>20</v>
      </c>
      <c r="H224" s="2">
        <v>17800</v>
      </c>
      <c r="I224" s="2">
        <v>356000</v>
      </c>
      <c r="J224" s="3">
        <v>0.15</v>
      </c>
      <c r="K224" s="2">
        <v>302600</v>
      </c>
      <c r="L224" s="2">
        <v>454000</v>
      </c>
      <c r="M224" s="9">
        <v>0.78414096916299603</v>
      </c>
    </row>
    <row r="225" spans="1:13" x14ac:dyDescent="0.25">
      <c r="A225" s="8">
        <v>1224</v>
      </c>
      <c r="B225" s="4" t="s">
        <v>45</v>
      </c>
      <c r="C225" s="4" t="s">
        <v>43</v>
      </c>
      <c r="D225" s="4" t="s">
        <v>15</v>
      </c>
      <c r="E225" s="4" t="s">
        <v>19</v>
      </c>
      <c r="F225" s="4" t="s">
        <v>21</v>
      </c>
      <c r="G225" s="4">
        <v>13</v>
      </c>
      <c r="H225" s="5">
        <v>23100</v>
      </c>
      <c r="I225" s="5">
        <v>300300</v>
      </c>
      <c r="J225" s="6">
        <v>0</v>
      </c>
      <c r="K225" s="5">
        <v>300300</v>
      </c>
      <c r="L225" s="5">
        <v>373000</v>
      </c>
      <c r="M225" s="10">
        <v>0.80509383378016097</v>
      </c>
    </row>
    <row r="226" spans="1:13" x14ac:dyDescent="0.25">
      <c r="A226" s="7">
        <v>1225</v>
      </c>
      <c r="B226" s="1" t="s">
        <v>45</v>
      </c>
      <c r="C226" s="1" t="s">
        <v>43</v>
      </c>
      <c r="D226" s="1" t="s">
        <v>15</v>
      </c>
      <c r="E226" s="1" t="s">
        <v>16</v>
      </c>
      <c r="F226" s="1" t="s">
        <v>22</v>
      </c>
      <c r="G226" s="1">
        <v>36</v>
      </c>
      <c r="H226" s="2">
        <v>4500</v>
      </c>
      <c r="I226" s="2">
        <v>162000</v>
      </c>
      <c r="J226" s="3">
        <v>0.05</v>
      </c>
      <c r="K226" s="2">
        <v>153900</v>
      </c>
      <c r="L226" s="2">
        <v>206000</v>
      </c>
      <c r="M226" s="9">
        <v>0.78640776699029102</v>
      </c>
    </row>
    <row r="227" spans="1:13" x14ac:dyDescent="0.25">
      <c r="A227" s="8">
        <v>1226</v>
      </c>
      <c r="B227" s="4" t="s">
        <v>45</v>
      </c>
      <c r="C227" s="4" t="s">
        <v>43</v>
      </c>
      <c r="D227" s="4" t="s">
        <v>23</v>
      </c>
      <c r="E227" s="4" t="s">
        <v>25</v>
      </c>
      <c r="F227" s="4" t="s">
        <v>17</v>
      </c>
      <c r="G227" s="4">
        <v>3</v>
      </c>
      <c r="H227" s="5">
        <v>67500</v>
      </c>
      <c r="I227" s="5">
        <v>202500</v>
      </c>
      <c r="J227" s="6">
        <v>0</v>
      </c>
      <c r="K227" s="5">
        <v>202500</v>
      </c>
      <c r="L227" s="5">
        <v>207000</v>
      </c>
      <c r="M227" s="10">
        <v>0.97826086956521696</v>
      </c>
    </row>
    <row r="228" spans="1:13" x14ac:dyDescent="0.25">
      <c r="A228" s="7">
        <v>1227</v>
      </c>
      <c r="B228" s="1" t="s">
        <v>45</v>
      </c>
      <c r="C228" s="1" t="s">
        <v>43</v>
      </c>
      <c r="D228" s="1" t="s">
        <v>23</v>
      </c>
      <c r="E228" s="1" t="s">
        <v>24</v>
      </c>
      <c r="F228" s="1" t="s">
        <v>18</v>
      </c>
      <c r="G228" s="1">
        <v>18</v>
      </c>
      <c r="H228" s="2">
        <v>31100</v>
      </c>
      <c r="I228" s="2">
        <v>559800</v>
      </c>
      <c r="J228" s="3">
        <v>0.15</v>
      </c>
      <c r="K228" s="2">
        <v>475830</v>
      </c>
      <c r="L228" s="2">
        <v>551000</v>
      </c>
      <c r="M228" s="9">
        <v>1.0159709618874799</v>
      </c>
    </row>
    <row r="229" spans="1:13" x14ac:dyDescent="0.25">
      <c r="A229" s="8">
        <v>1228</v>
      </c>
      <c r="B229" s="4" t="s">
        <v>45</v>
      </c>
      <c r="C229" s="4" t="s">
        <v>43</v>
      </c>
      <c r="D229" s="4" t="s">
        <v>23</v>
      </c>
      <c r="E229" s="4" t="s">
        <v>25</v>
      </c>
      <c r="F229" s="4" t="s">
        <v>20</v>
      </c>
      <c r="G229" s="4">
        <v>9</v>
      </c>
      <c r="H229" s="5">
        <v>17600</v>
      </c>
      <c r="I229" s="5">
        <v>158400</v>
      </c>
      <c r="J229" s="6">
        <v>0</v>
      </c>
      <c r="K229" s="5">
        <v>158400</v>
      </c>
      <c r="L229" s="5">
        <v>203000</v>
      </c>
      <c r="M229" s="10">
        <v>0.78029556650246301</v>
      </c>
    </row>
    <row r="230" spans="1:13" x14ac:dyDescent="0.25">
      <c r="A230" s="7">
        <v>1229</v>
      </c>
      <c r="B230" s="1" t="s">
        <v>45</v>
      </c>
      <c r="C230" s="1" t="s">
        <v>43</v>
      </c>
      <c r="D230" s="1" t="s">
        <v>23</v>
      </c>
      <c r="E230" s="1" t="s">
        <v>25</v>
      </c>
      <c r="F230" s="1" t="s">
        <v>21</v>
      </c>
      <c r="G230" s="1">
        <v>5</v>
      </c>
      <c r="H230" s="2">
        <v>22700</v>
      </c>
      <c r="I230" s="2">
        <v>113500</v>
      </c>
      <c r="J230" s="3">
        <v>0.15</v>
      </c>
      <c r="K230" s="2">
        <v>96475</v>
      </c>
      <c r="L230" s="2">
        <v>127000</v>
      </c>
      <c r="M230" s="9">
        <v>0.89370078740157499</v>
      </c>
    </row>
    <row r="231" spans="1:13" x14ac:dyDescent="0.25">
      <c r="A231" s="8">
        <v>1230</v>
      </c>
      <c r="B231" s="4" t="s">
        <v>45</v>
      </c>
      <c r="C231" s="4" t="s">
        <v>43</v>
      </c>
      <c r="D231" s="4" t="s">
        <v>23</v>
      </c>
      <c r="E231" s="4" t="s">
        <v>24</v>
      </c>
      <c r="F231" s="4" t="s">
        <v>22</v>
      </c>
      <c r="G231" s="4">
        <v>11</v>
      </c>
      <c r="H231" s="5">
        <v>4800</v>
      </c>
      <c r="I231" s="5">
        <v>52800</v>
      </c>
      <c r="J231" s="6">
        <v>0</v>
      </c>
      <c r="K231" s="5">
        <v>52800</v>
      </c>
      <c r="L231" s="5">
        <v>68000</v>
      </c>
      <c r="M231" s="10">
        <v>0.77647058823529402</v>
      </c>
    </row>
    <row r="232" spans="1:13" x14ac:dyDescent="0.25">
      <c r="A232" s="7">
        <v>1231</v>
      </c>
      <c r="B232" s="1" t="s">
        <v>45</v>
      </c>
      <c r="C232" s="1" t="s">
        <v>43</v>
      </c>
      <c r="D232" s="1" t="s">
        <v>26</v>
      </c>
      <c r="E232" s="1" t="s">
        <v>27</v>
      </c>
      <c r="F232" s="1" t="s">
        <v>17</v>
      </c>
      <c r="G232" s="1">
        <v>4</v>
      </c>
      <c r="H232" s="2">
        <v>69300</v>
      </c>
      <c r="I232" s="2">
        <v>277200</v>
      </c>
      <c r="J232" s="3">
        <v>0.1</v>
      </c>
      <c r="K232" s="2">
        <v>249480</v>
      </c>
      <c r="L232" s="2">
        <v>250000</v>
      </c>
      <c r="M232" s="9">
        <v>1.1088</v>
      </c>
    </row>
    <row r="233" spans="1:13" x14ac:dyDescent="0.25">
      <c r="A233" s="8">
        <v>1232</v>
      </c>
      <c r="B233" s="4" t="s">
        <v>45</v>
      </c>
      <c r="C233" s="4" t="s">
        <v>43</v>
      </c>
      <c r="D233" s="4" t="s">
        <v>26</v>
      </c>
      <c r="E233" s="4" t="s">
        <v>27</v>
      </c>
      <c r="F233" s="4" t="s">
        <v>18</v>
      </c>
      <c r="G233" s="4">
        <v>18</v>
      </c>
      <c r="H233" s="5">
        <v>34400</v>
      </c>
      <c r="I233" s="5">
        <v>619200</v>
      </c>
      <c r="J233" s="6">
        <v>0.05</v>
      </c>
      <c r="K233" s="5">
        <v>588240</v>
      </c>
      <c r="L233" s="5">
        <v>735000</v>
      </c>
      <c r="M233" s="10">
        <v>0.84244897959183696</v>
      </c>
    </row>
    <row r="234" spans="1:13" x14ac:dyDescent="0.25">
      <c r="A234" s="7">
        <v>1233</v>
      </c>
      <c r="B234" s="1" t="s">
        <v>45</v>
      </c>
      <c r="C234" s="1" t="s">
        <v>43</v>
      </c>
      <c r="D234" s="1" t="s">
        <v>26</v>
      </c>
      <c r="E234" s="1" t="s">
        <v>27</v>
      </c>
      <c r="F234" s="1" t="s">
        <v>20</v>
      </c>
      <c r="G234" s="1">
        <v>16</v>
      </c>
      <c r="H234" s="2">
        <v>19300</v>
      </c>
      <c r="I234" s="2">
        <v>308800</v>
      </c>
      <c r="J234" s="3">
        <v>0</v>
      </c>
      <c r="K234" s="2">
        <v>308800</v>
      </c>
      <c r="L234" s="2">
        <v>400000</v>
      </c>
      <c r="M234" s="9">
        <v>0.77200000000000002</v>
      </c>
    </row>
    <row r="235" spans="1:13" x14ac:dyDescent="0.25">
      <c r="A235" s="8">
        <v>1234</v>
      </c>
      <c r="B235" s="4" t="s">
        <v>45</v>
      </c>
      <c r="C235" s="4" t="s">
        <v>43</v>
      </c>
      <c r="D235" s="4" t="s">
        <v>26</v>
      </c>
      <c r="E235" s="4" t="s">
        <v>28</v>
      </c>
      <c r="F235" s="4" t="s">
        <v>21</v>
      </c>
      <c r="G235" s="4">
        <v>6</v>
      </c>
      <c r="H235" s="5">
        <v>20300</v>
      </c>
      <c r="I235" s="5">
        <v>121800</v>
      </c>
      <c r="J235" s="6">
        <v>0</v>
      </c>
      <c r="K235" s="5">
        <v>121800</v>
      </c>
      <c r="L235" s="5">
        <v>105000</v>
      </c>
      <c r="M235" s="10">
        <v>1.1599999999999999</v>
      </c>
    </row>
    <row r="236" spans="1:13" x14ac:dyDescent="0.25">
      <c r="A236" s="7">
        <v>1235</v>
      </c>
      <c r="B236" s="1" t="s">
        <v>45</v>
      </c>
      <c r="C236" s="1" t="s">
        <v>43</v>
      </c>
      <c r="D236" s="1" t="s">
        <v>26</v>
      </c>
      <c r="E236" s="1" t="s">
        <v>28</v>
      </c>
      <c r="F236" s="1" t="s">
        <v>22</v>
      </c>
      <c r="G236" s="1">
        <v>35</v>
      </c>
      <c r="H236" s="2">
        <v>4800</v>
      </c>
      <c r="I236" s="2">
        <v>168000</v>
      </c>
      <c r="J236" s="3">
        <v>0.1</v>
      </c>
      <c r="K236" s="2">
        <v>151200</v>
      </c>
      <c r="L236" s="2">
        <v>162000</v>
      </c>
      <c r="M236" s="9">
        <v>1.0370370370370401</v>
      </c>
    </row>
    <row r="237" spans="1:13" x14ac:dyDescent="0.25">
      <c r="A237" s="8">
        <v>1236</v>
      </c>
      <c r="B237" s="4" t="s">
        <v>45</v>
      </c>
      <c r="C237" s="4" t="s">
        <v>43</v>
      </c>
      <c r="D237" s="4" t="s">
        <v>29</v>
      </c>
      <c r="E237" s="4" t="s">
        <v>30</v>
      </c>
      <c r="F237" s="4" t="s">
        <v>17</v>
      </c>
      <c r="G237" s="4">
        <v>7</v>
      </c>
      <c r="H237" s="5">
        <v>59200</v>
      </c>
      <c r="I237" s="5">
        <v>414400</v>
      </c>
      <c r="J237" s="6">
        <v>0.15</v>
      </c>
      <c r="K237" s="5">
        <v>352240</v>
      </c>
      <c r="L237" s="5">
        <v>419000</v>
      </c>
      <c r="M237" s="10">
        <v>0.98902147971360399</v>
      </c>
    </row>
    <row r="238" spans="1:13" x14ac:dyDescent="0.25">
      <c r="A238" s="7">
        <v>1237</v>
      </c>
      <c r="B238" s="1" t="s">
        <v>45</v>
      </c>
      <c r="C238" s="1" t="s">
        <v>43</v>
      </c>
      <c r="D238" s="1" t="s">
        <v>29</v>
      </c>
      <c r="E238" s="1" t="s">
        <v>30</v>
      </c>
      <c r="F238" s="1" t="s">
        <v>18</v>
      </c>
      <c r="G238" s="1">
        <v>16</v>
      </c>
      <c r="H238" s="2">
        <v>29200</v>
      </c>
      <c r="I238" s="2">
        <v>467200</v>
      </c>
      <c r="J238" s="3">
        <v>0.05</v>
      </c>
      <c r="K238" s="2">
        <v>443840</v>
      </c>
      <c r="L238" s="2">
        <v>556000</v>
      </c>
      <c r="M238" s="9">
        <v>0.84028776978417297</v>
      </c>
    </row>
    <row r="239" spans="1:13" x14ac:dyDescent="0.25">
      <c r="A239" s="8">
        <v>1238</v>
      </c>
      <c r="B239" s="4" t="s">
        <v>45</v>
      </c>
      <c r="C239" s="4" t="s">
        <v>43</v>
      </c>
      <c r="D239" s="4" t="s">
        <v>29</v>
      </c>
      <c r="E239" s="4" t="s">
        <v>30</v>
      </c>
      <c r="F239" s="4" t="s">
        <v>20</v>
      </c>
      <c r="G239" s="4">
        <v>22</v>
      </c>
      <c r="H239" s="5">
        <v>18000</v>
      </c>
      <c r="I239" s="5">
        <v>396000</v>
      </c>
      <c r="J239" s="6">
        <v>0.1</v>
      </c>
      <c r="K239" s="5">
        <v>356400</v>
      </c>
      <c r="L239" s="5">
        <v>325000</v>
      </c>
      <c r="M239" s="10">
        <v>1.21846153846154</v>
      </c>
    </row>
    <row r="240" spans="1:13" x14ac:dyDescent="0.25">
      <c r="A240" s="7">
        <v>1239</v>
      </c>
      <c r="B240" s="1" t="s">
        <v>45</v>
      </c>
      <c r="C240" s="1" t="s">
        <v>43</v>
      </c>
      <c r="D240" s="1" t="s">
        <v>29</v>
      </c>
      <c r="E240" s="1" t="s">
        <v>31</v>
      </c>
      <c r="F240" s="1" t="s">
        <v>21</v>
      </c>
      <c r="G240" s="1">
        <v>11</v>
      </c>
      <c r="H240" s="2">
        <v>22600</v>
      </c>
      <c r="I240" s="2">
        <v>248600</v>
      </c>
      <c r="J240" s="3">
        <v>0</v>
      </c>
      <c r="K240" s="2">
        <v>248600</v>
      </c>
      <c r="L240" s="2">
        <v>206000</v>
      </c>
      <c r="M240" s="9">
        <v>1.20679611650485</v>
      </c>
    </row>
    <row r="241" spans="1:13" x14ac:dyDescent="0.25">
      <c r="A241" s="15">
        <v>1240</v>
      </c>
      <c r="B241" s="16" t="s">
        <v>45</v>
      </c>
      <c r="C241" s="16" t="s">
        <v>43</v>
      </c>
      <c r="D241" s="16" t="s">
        <v>29</v>
      </c>
      <c r="E241" s="16" t="s">
        <v>31</v>
      </c>
      <c r="F241" s="16" t="s">
        <v>22</v>
      </c>
      <c r="G241" s="16">
        <v>37</v>
      </c>
      <c r="H241" s="17">
        <v>4400</v>
      </c>
      <c r="I241" s="17">
        <v>162800</v>
      </c>
      <c r="J241" s="18">
        <v>0.15</v>
      </c>
      <c r="K241" s="17">
        <v>138380</v>
      </c>
      <c r="L241" s="17">
        <v>139000</v>
      </c>
      <c r="M241" s="19">
        <v>1.17122302158273</v>
      </c>
    </row>
  </sheetData>
  <conditionalFormatting sqref="I1:I241">
    <cfRule type="dataBar" priority="1">
      <dataBar>
        <cfvo type="min"/>
        <cfvo type="max"/>
        <color rgb="FF638EC6"/>
      </dataBar>
      <extLst>
        <ext xmlns:x14="http://schemas.microsoft.com/office/spreadsheetml/2009/9/main" uri="{B025F937-C7B1-47D3-B67F-A62EFF666E3E}">
          <x14:id>{3E84BD92-C1F7-42EA-8806-20C1774C4D99}</x14:id>
        </ext>
      </extLst>
    </cfRule>
  </conditionalFormatting>
  <conditionalFormatting sqref="M2:M241">
    <cfRule type="cellIs" dxfId="148" priority="2" operator="greaterThan">
      <formula>1</formula>
    </cfRule>
    <cfRule type="cellIs" dxfId="147" priority="3" operator="lessThan">
      <formula>0.8</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E84BD92-C1F7-42EA-8806-20C1774C4D99}">
            <x14:dataBar minLength="0" maxLength="100" gradient="0">
              <x14:cfvo type="autoMin"/>
              <x14:cfvo type="autoMax"/>
              <x14:negativeFillColor rgb="FFFF0000"/>
              <x14:axisColor rgb="FF000000"/>
            </x14:dataBar>
          </x14:cfRule>
          <xm:sqref>I1:I241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FA27E-D62B-4A05-879C-A58048CC4A5C}">
  <dimension ref="A3:M27"/>
  <sheetViews>
    <sheetView showGridLines="0" topLeftCell="A3" workbookViewId="0">
      <selection activeCell="J8" sqref="J8"/>
    </sheetView>
  </sheetViews>
  <sheetFormatPr defaultRowHeight="15" x14ac:dyDescent="0.25"/>
  <cols>
    <col min="1" max="1" width="13.140625" bestFit="1" customWidth="1"/>
    <col min="2" max="2" width="13.85546875" bestFit="1" customWidth="1"/>
    <col min="3" max="3" width="18.140625" bestFit="1" customWidth="1"/>
    <col min="4" max="4" width="11.28515625" bestFit="1" customWidth="1"/>
    <col min="5" max="5" width="13" bestFit="1" customWidth="1"/>
    <col min="6" max="6" width="12.28515625" bestFit="1" customWidth="1"/>
    <col min="7" max="7" width="10" bestFit="1" customWidth="1"/>
    <col min="8" max="8" width="17.5703125" bestFit="1" customWidth="1"/>
    <col min="9" max="9" width="11.7109375" bestFit="1" customWidth="1"/>
    <col min="10" max="10" width="19.28515625" customWidth="1"/>
    <col min="11" max="12" width="16.28515625" bestFit="1" customWidth="1"/>
    <col min="13" max="13" width="11.28515625" bestFit="1" customWidth="1"/>
  </cols>
  <sheetData>
    <row r="3" spans="1:13" x14ac:dyDescent="0.25">
      <c r="A3" s="20" t="s">
        <v>3</v>
      </c>
      <c r="B3" t="s">
        <v>49</v>
      </c>
      <c r="D3" s="20" t="s">
        <v>5</v>
      </c>
      <c r="E3" t="s">
        <v>50</v>
      </c>
      <c r="F3" s="20"/>
      <c r="G3" s="20"/>
      <c r="H3" s="20"/>
      <c r="I3" s="20"/>
    </row>
    <row r="4" spans="1:13" x14ac:dyDescent="0.25">
      <c r="A4" s="21" t="s">
        <v>15</v>
      </c>
      <c r="B4" s="22">
        <v>17001100</v>
      </c>
      <c r="D4" s="21" t="s">
        <v>22</v>
      </c>
      <c r="E4" s="27">
        <v>7.7966252449580956E-2</v>
      </c>
    </row>
    <row r="5" spans="1:13" x14ac:dyDescent="0.25">
      <c r="A5" s="21" t="s">
        <v>23</v>
      </c>
      <c r="B5" s="22">
        <v>17189600</v>
      </c>
      <c r="D5" s="21" t="s">
        <v>17</v>
      </c>
      <c r="E5" s="27">
        <v>0.31888881556484538</v>
      </c>
    </row>
    <row r="6" spans="1:13" x14ac:dyDescent="0.25">
      <c r="A6" s="21" t="s">
        <v>26</v>
      </c>
      <c r="B6" s="22">
        <v>17680900</v>
      </c>
      <c r="D6" s="21" t="s">
        <v>21</v>
      </c>
      <c r="E6" s="27">
        <v>0.14300388202990283</v>
      </c>
    </row>
    <row r="7" spans="1:13" x14ac:dyDescent="0.25">
      <c r="A7" s="21" t="s">
        <v>29</v>
      </c>
      <c r="B7" s="22">
        <v>17834200</v>
      </c>
      <c r="D7" s="21" t="s">
        <v>20</v>
      </c>
      <c r="E7" s="27">
        <v>0.19773390449575215</v>
      </c>
    </row>
    <row r="8" spans="1:13" x14ac:dyDescent="0.25">
      <c r="A8" s="21" t="s">
        <v>46</v>
      </c>
      <c r="B8" s="22">
        <v>69705800</v>
      </c>
      <c r="D8" s="21" t="s">
        <v>18</v>
      </c>
      <c r="E8" s="27">
        <v>0.26240714545991867</v>
      </c>
    </row>
    <row r="9" spans="1:13" x14ac:dyDescent="0.25">
      <c r="D9" s="21" t="s">
        <v>46</v>
      </c>
      <c r="E9" s="27">
        <v>1</v>
      </c>
    </row>
    <row r="12" spans="1:13" x14ac:dyDescent="0.25">
      <c r="A12" s="20" t="s">
        <v>47</v>
      </c>
      <c r="B12" t="s">
        <v>53</v>
      </c>
      <c r="C12" t="s">
        <v>54</v>
      </c>
      <c r="D12" s="20"/>
      <c r="E12" s="20"/>
      <c r="F12" s="20"/>
      <c r="G12" s="20"/>
      <c r="H12" s="20"/>
      <c r="I12" s="20"/>
      <c r="J12" s="20"/>
      <c r="K12" s="20"/>
      <c r="L12" s="20"/>
      <c r="M12" s="20"/>
    </row>
    <row r="13" spans="1:13" x14ac:dyDescent="0.25">
      <c r="A13" s="21" t="s">
        <v>13</v>
      </c>
      <c r="B13" s="22">
        <v>5773600</v>
      </c>
      <c r="C13" s="22">
        <v>5937000</v>
      </c>
      <c r="E13" s="20" t="s">
        <v>56</v>
      </c>
      <c r="F13" t="s">
        <v>55</v>
      </c>
      <c r="G13" s="20"/>
      <c r="H13" s="20"/>
      <c r="I13" s="20"/>
      <c r="J13" s="20"/>
      <c r="K13" s="20"/>
      <c r="L13" s="20"/>
      <c r="M13" s="20"/>
    </row>
    <row r="14" spans="1:13" x14ac:dyDescent="0.25">
      <c r="A14" s="21" t="s">
        <v>32</v>
      </c>
      <c r="B14" s="22">
        <v>5932100</v>
      </c>
      <c r="C14" s="22">
        <v>6810000</v>
      </c>
      <c r="E14" s="21" t="s">
        <v>22</v>
      </c>
      <c r="F14" s="22">
        <v>1219</v>
      </c>
    </row>
    <row r="15" spans="1:13" x14ac:dyDescent="0.25">
      <c r="A15" s="21" t="s">
        <v>33</v>
      </c>
      <c r="B15" s="22">
        <v>5512900</v>
      </c>
      <c r="C15" s="22">
        <v>5631000</v>
      </c>
      <c r="E15" s="21" t="s">
        <v>20</v>
      </c>
      <c r="F15" s="22">
        <v>764</v>
      </c>
    </row>
    <row r="16" spans="1:13" x14ac:dyDescent="0.25">
      <c r="A16" s="21" t="s">
        <v>34</v>
      </c>
      <c r="B16" s="22">
        <v>5352400</v>
      </c>
      <c r="C16" s="22">
        <v>5961000</v>
      </c>
      <c r="E16" s="21" t="s">
        <v>18</v>
      </c>
      <c r="F16" s="22">
        <v>572</v>
      </c>
    </row>
    <row r="17" spans="1:10" x14ac:dyDescent="0.25">
      <c r="A17" s="21" t="s">
        <v>36</v>
      </c>
      <c r="B17" s="22">
        <v>5506100</v>
      </c>
      <c r="C17" s="22">
        <v>5586000</v>
      </c>
      <c r="E17" s="21" t="s">
        <v>21</v>
      </c>
      <c r="F17" s="22">
        <v>457</v>
      </c>
    </row>
    <row r="18" spans="1:10" x14ac:dyDescent="0.25">
      <c r="A18" s="21" t="s">
        <v>37</v>
      </c>
      <c r="B18" s="22">
        <v>6089400</v>
      </c>
      <c r="C18" s="22">
        <v>6184000</v>
      </c>
      <c r="E18" s="21" t="s">
        <v>17</v>
      </c>
      <c r="F18" s="22">
        <v>340</v>
      </c>
    </row>
    <row r="19" spans="1:10" x14ac:dyDescent="0.25">
      <c r="A19" s="21" t="s">
        <v>38</v>
      </c>
      <c r="B19" s="22">
        <v>6766200</v>
      </c>
      <c r="C19" s="22">
        <v>6910000</v>
      </c>
      <c r="E19" s="21" t="s">
        <v>46</v>
      </c>
      <c r="F19" s="22">
        <v>3352</v>
      </c>
    </row>
    <row r="20" spans="1:10" x14ac:dyDescent="0.25">
      <c r="A20" s="21" t="s">
        <v>40</v>
      </c>
      <c r="B20" s="22">
        <v>5256700</v>
      </c>
      <c r="C20" s="22">
        <v>5396000</v>
      </c>
    </row>
    <row r="21" spans="1:10" x14ac:dyDescent="0.25">
      <c r="A21" s="21" t="s">
        <v>41</v>
      </c>
      <c r="B21" s="22">
        <v>5802900</v>
      </c>
      <c r="C21" s="22">
        <v>6156000</v>
      </c>
    </row>
    <row r="22" spans="1:10" x14ac:dyDescent="0.25">
      <c r="A22" s="21" t="s">
        <v>42</v>
      </c>
      <c r="B22" s="22">
        <v>5243100</v>
      </c>
      <c r="C22" s="22">
        <v>5705000</v>
      </c>
      <c r="E22" s="32" t="s">
        <v>63</v>
      </c>
      <c r="F22" s="30" t="s">
        <v>60</v>
      </c>
      <c r="G22" s="30" t="s">
        <v>59</v>
      </c>
      <c r="H22" s="23" t="s">
        <v>58</v>
      </c>
      <c r="I22" s="30" t="s">
        <v>61</v>
      </c>
      <c r="J22" s="33" t="s">
        <v>62</v>
      </c>
    </row>
    <row r="23" spans="1:10" x14ac:dyDescent="0.25">
      <c r="A23" s="21" t="s">
        <v>44</v>
      </c>
      <c r="B23" s="22">
        <v>6487100</v>
      </c>
      <c r="C23" s="22">
        <v>7161000</v>
      </c>
      <c r="E23" s="30" t="s">
        <v>15</v>
      </c>
      <c r="F23" s="31">
        <v>17001100</v>
      </c>
      <c r="G23" s="31">
        <v>17766000</v>
      </c>
      <c r="H23" s="29">
        <v>0.95694585162670265</v>
      </c>
      <c r="I23" s="31">
        <v>780</v>
      </c>
      <c r="J23" s="30" t="s">
        <v>17</v>
      </c>
    </row>
    <row r="24" spans="1:10" x14ac:dyDescent="0.25">
      <c r="A24" s="21" t="s">
        <v>45</v>
      </c>
      <c r="B24" s="22">
        <v>5983300</v>
      </c>
      <c r="C24" s="22">
        <v>6613000</v>
      </c>
      <c r="E24" s="30" t="s">
        <v>23</v>
      </c>
      <c r="F24" s="31">
        <v>17189600</v>
      </c>
      <c r="G24" s="31">
        <v>18813000</v>
      </c>
      <c r="H24" s="29">
        <v>0.91370860575134216</v>
      </c>
      <c r="I24" s="31">
        <v>810</v>
      </c>
      <c r="J24" s="30" t="s">
        <v>17</v>
      </c>
    </row>
    <row r="25" spans="1:10" x14ac:dyDescent="0.25">
      <c r="A25" s="21" t="s">
        <v>46</v>
      </c>
      <c r="B25" s="22">
        <v>69705800</v>
      </c>
      <c r="C25" s="22">
        <v>74050000</v>
      </c>
      <c r="E25" s="30" t="s">
        <v>26</v>
      </c>
      <c r="F25" s="31">
        <v>17680900</v>
      </c>
      <c r="G25" s="31">
        <v>19348000</v>
      </c>
      <c r="H25" s="29">
        <v>0.91383605540624357</v>
      </c>
      <c r="I25" s="31">
        <v>852</v>
      </c>
      <c r="J25" s="30" t="s">
        <v>18</v>
      </c>
    </row>
    <row r="26" spans="1:10" x14ac:dyDescent="0.25">
      <c r="E26" s="30" t="s">
        <v>29</v>
      </c>
      <c r="F26" s="31">
        <v>17834200</v>
      </c>
      <c r="G26" s="31">
        <v>18123000</v>
      </c>
      <c r="H26" s="29">
        <v>0.98406444849086794</v>
      </c>
      <c r="I26" s="31">
        <v>910</v>
      </c>
      <c r="J26" s="30" t="s">
        <v>17</v>
      </c>
    </row>
    <row r="27" spans="1:10" x14ac:dyDescent="0.25">
      <c r="E27" s="30" t="s">
        <v>46</v>
      </c>
      <c r="F27" s="31">
        <v>69705800</v>
      </c>
      <c r="G27" s="31">
        <v>74050000</v>
      </c>
      <c r="H27" s="29">
        <v>0.94133423362592838</v>
      </c>
      <c r="I27" s="31">
        <v>3352</v>
      </c>
      <c r="J27" s="30"/>
    </row>
  </sheetData>
  <pageMargins left="0.7" right="0.7" top="0.75" bottom="0.75" header="0.3" footer="0.3"/>
  <pageSetup paperSize="9"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B215B-3656-4647-A395-38534AFCADFE}">
  <sheetPr>
    <tabColor theme="7" tint="-0.249977111117893"/>
  </sheetPr>
  <dimension ref="A1"/>
  <sheetViews>
    <sheetView showGridLines="0" workbookViewId="0">
      <selection activeCell="X22" sqref="X22"/>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A8666-3BCD-4AAC-9486-E185FCA4A7C3}">
  <sheetPr>
    <tabColor theme="5" tint="-0.249977111117893"/>
  </sheetPr>
  <dimension ref="A1:AW34"/>
  <sheetViews>
    <sheetView showGridLines="0" tabSelected="1" workbookViewId="0">
      <selection activeCell="R20" sqref="R20"/>
    </sheetView>
  </sheetViews>
  <sheetFormatPr defaultRowHeight="15" x14ac:dyDescent="0.25"/>
  <cols>
    <col min="6" max="6" width="6.7109375" customWidth="1"/>
    <col min="7" max="7" width="13" bestFit="1" customWidth="1"/>
    <col min="8" max="8" width="12.28515625" bestFit="1" customWidth="1"/>
    <col min="9" max="9" width="10" bestFit="1" customWidth="1"/>
    <col min="10" max="10" width="17.5703125" bestFit="1" customWidth="1"/>
    <col min="11" max="11" width="11.7109375" bestFit="1" customWidth="1"/>
    <col min="12" max="12" width="18.28515625" customWidth="1"/>
  </cols>
  <sheetData>
    <row r="1" spans="1:49" x14ac:dyDescent="0.25">
      <c r="A1" s="49" t="s">
        <v>51</v>
      </c>
      <c r="B1" s="49"/>
      <c r="C1" s="49"/>
      <c r="D1" s="49"/>
      <c r="E1" s="49"/>
      <c r="F1" s="49"/>
      <c r="G1" s="49"/>
      <c r="H1" s="49"/>
      <c r="I1" s="49"/>
      <c r="J1" s="49"/>
      <c r="K1" s="49"/>
      <c r="L1" s="49"/>
      <c r="M1" s="49"/>
      <c r="N1" s="49"/>
      <c r="O1" s="49"/>
      <c r="P1" s="49"/>
      <c r="Q1" s="49"/>
      <c r="R1" s="49"/>
      <c r="S1" s="49"/>
      <c r="T1" s="49"/>
      <c r="U1" s="49"/>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row>
    <row r="2" spans="1:49" x14ac:dyDescent="0.25">
      <c r="A2" s="49"/>
      <c r="B2" s="49"/>
      <c r="C2" s="49"/>
      <c r="D2" s="49"/>
      <c r="E2" s="49"/>
      <c r="F2" s="49"/>
      <c r="G2" s="49"/>
      <c r="H2" s="49"/>
      <c r="I2" s="49"/>
      <c r="J2" s="49"/>
      <c r="K2" s="49"/>
      <c r="L2" s="49"/>
      <c r="M2" s="49"/>
      <c r="N2" s="49"/>
      <c r="O2" s="49"/>
      <c r="P2" s="49"/>
      <c r="Q2" s="49"/>
      <c r="R2" s="49"/>
      <c r="S2" s="49"/>
      <c r="T2" s="49"/>
      <c r="U2" s="49"/>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row>
    <row r="3" spans="1:49" x14ac:dyDescent="0.25">
      <c r="A3" s="25"/>
      <c r="B3" s="25"/>
      <c r="C3" s="25"/>
      <c r="D3" s="25"/>
      <c r="E3" s="25"/>
      <c r="F3" s="25"/>
      <c r="G3" s="25"/>
      <c r="H3" s="25"/>
      <c r="I3" s="25"/>
      <c r="J3" s="25"/>
      <c r="K3" s="25"/>
      <c r="L3" s="25"/>
      <c r="M3" s="25"/>
      <c r="N3" s="25"/>
      <c r="O3" s="25"/>
      <c r="P3" s="25"/>
      <c r="Q3" s="25"/>
      <c r="R3" s="25"/>
      <c r="S3" s="25"/>
      <c r="T3" s="25"/>
      <c r="U3" s="25"/>
    </row>
    <row r="4" spans="1:49" x14ac:dyDescent="0.25">
      <c r="A4" s="67"/>
      <c r="B4" s="67"/>
      <c r="C4" s="67"/>
      <c r="D4" s="67"/>
      <c r="E4" s="67"/>
      <c r="F4" s="67"/>
      <c r="G4" s="67"/>
      <c r="H4" s="67"/>
      <c r="I4" s="67"/>
      <c r="J4" s="67"/>
      <c r="K4" s="67"/>
      <c r="L4" s="67"/>
      <c r="M4" s="67"/>
      <c r="N4" s="67"/>
      <c r="O4" s="67"/>
      <c r="P4" s="67"/>
      <c r="Q4" s="67"/>
      <c r="R4" s="67"/>
      <c r="S4" s="67"/>
      <c r="T4" s="67"/>
      <c r="U4" s="67"/>
    </row>
    <row r="5" spans="1:49" x14ac:dyDescent="0.25">
      <c r="A5" s="67"/>
      <c r="B5" s="67"/>
      <c r="C5" s="67"/>
      <c r="D5" s="67"/>
      <c r="E5" s="67"/>
      <c r="F5" s="67"/>
      <c r="G5" s="67"/>
      <c r="H5" s="67"/>
      <c r="I5" s="67"/>
      <c r="J5" s="67"/>
      <c r="K5" s="67"/>
      <c r="L5" s="67"/>
      <c r="M5" s="67"/>
      <c r="N5" s="67"/>
      <c r="O5" s="67"/>
      <c r="P5" s="67"/>
      <c r="Q5" s="67"/>
      <c r="R5" s="67"/>
      <c r="S5" s="67"/>
      <c r="T5" s="67"/>
      <c r="U5" s="67"/>
    </row>
    <row r="6" spans="1:49" x14ac:dyDescent="0.25">
      <c r="A6" s="67"/>
      <c r="B6" s="67"/>
      <c r="C6" s="67"/>
      <c r="D6" s="67"/>
      <c r="E6" s="67"/>
      <c r="F6" s="67"/>
      <c r="G6" s="67"/>
      <c r="H6" s="67"/>
      <c r="I6" s="67"/>
      <c r="J6" s="67"/>
      <c r="K6" s="67"/>
      <c r="L6" s="67"/>
      <c r="M6" s="67"/>
      <c r="N6" s="67"/>
      <c r="O6" s="67"/>
      <c r="P6" s="67"/>
      <c r="Q6" s="67"/>
      <c r="R6" s="67"/>
      <c r="S6" s="67"/>
      <c r="T6" s="67"/>
      <c r="U6" s="67"/>
    </row>
    <row r="7" spans="1:49" x14ac:dyDescent="0.25">
      <c r="A7" s="67"/>
      <c r="B7" s="67"/>
      <c r="C7" s="67"/>
      <c r="D7" s="67"/>
      <c r="E7" s="67"/>
      <c r="F7" s="67"/>
      <c r="G7" s="67"/>
      <c r="H7" s="67"/>
      <c r="I7" s="67"/>
      <c r="J7" s="67"/>
      <c r="K7" s="67"/>
      <c r="L7" s="67"/>
      <c r="M7" s="67"/>
      <c r="N7" s="67"/>
      <c r="O7" s="67"/>
      <c r="P7" s="67"/>
      <c r="Q7" s="67"/>
      <c r="R7" s="67"/>
      <c r="S7" s="67"/>
      <c r="T7" s="67"/>
      <c r="U7" s="67"/>
    </row>
    <row r="8" spans="1:49" x14ac:dyDescent="0.25">
      <c r="A8" s="26"/>
      <c r="B8" s="26"/>
      <c r="C8" s="26"/>
      <c r="D8" s="26"/>
      <c r="E8" s="26"/>
      <c r="F8" s="26"/>
      <c r="G8" s="26"/>
      <c r="H8" s="26"/>
      <c r="I8" s="26"/>
      <c r="J8" s="26"/>
      <c r="K8" s="26"/>
      <c r="L8" s="26"/>
      <c r="M8" s="26"/>
      <c r="N8" s="26"/>
      <c r="O8" s="26"/>
      <c r="P8" s="26"/>
      <c r="Q8" s="26"/>
      <c r="R8" s="26"/>
      <c r="S8" s="26"/>
      <c r="T8" s="26"/>
      <c r="U8" s="26"/>
    </row>
    <row r="9" spans="1:49" x14ac:dyDescent="0.25">
      <c r="A9" s="26"/>
      <c r="B9" s="26"/>
      <c r="C9" s="26"/>
      <c r="D9" s="26"/>
      <c r="E9" s="26"/>
      <c r="F9" s="26"/>
      <c r="G9" s="26"/>
      <c r="H9" s="26"/>
      <c r="I9" s="26"/>
      <c r="J9" s="26"/>
      <c r="K9" s="26"/>
      <c r="L9" s="26"/>
      <c r="M9" s="26"/>
      <c r="N9" s="26"/>
      <c r="O9" s="26"/>
      <c r="P9" s="26"/>
      <c r="Q9" s="26"/>
      <c r="R9" s="26"/>
      <c r="S9" s="26"/>
      <c r="T9" s="26"/>
      <c r="U9" s="26"/>
    </row>
    <row r="10" spans="1:49" x14ac:dyDescent="0.25">
      <c r="A10" s="26"/>
      <c r="B10" s="26"/>
      <c r="C10" s="26"/>
      <c r="D10" s="26"/>
      <c r="E10" s="26"/>
      <c r="F10" s="26"/>
      <c r="G10" s="26"/>
      <c r="H10" s="26"/>
      <c r="I10" s="26"/>
      <c r="J10" s="26"/>
      <c r="K10" s="26"/>
      <c r="L10" s="26"/>
      <c r="M10" s="26"/>
      <c r="N10" s="26"/>
      <c r="O10" s="26"/>
      <c r="P10" s="26"/>
      <c r="Q10" s="26"/>
      <c r="R10" s="26"/>
      <c r="S10" s="26"/>
      <c r="T10" s="26"/>
      <c r="U10" s="26"/>
    </row>
    <row r="11" spans="1:49" x14ac:dyDescent="0.25">
      <c r="A11" s="26"/>
      <c r="B11" s="26"/>
      <c r="C11" s="26"/>
      <c r="D11" s="26"/>
      <c r="E11" s="26"/>
      <c r="F11" s="26"/>
      <c r="G11" s="26"/>
      <c r="H11" s="26"/>
      <c r="I11" s="26"/>
      <c r="J11" s="26"/>
      <c r="K11" s="26"/>
      <c r="L11" s="26"/>
      <c r="M11" s="26"/>
      <c r="N11" s="26"/>
      <c r="O11" s="26"/>
      <c r="P11" s="26"/>
      <c r="Q11" s="26"/>
      <c r="R11" s="26"/>
      <c r="S11" s="26"/>
      <c r="T11" s="26"/>
      <c r="U11" s="26"/>
    </row>
    <row r="19" spans="7:25" x14ac:dyDescent="0.25">
      <c r="G19" s="64" t="s">
        <v>57</v>
      </c>
      <c r="H19" s="65"/>
      <c r="I19" s="65"/>
      <c r="J19" s="65"/>
      <c r="K19" s="65"/>
      <c r="L19" s="66"/>
    </row>
    <row r="20" spans="7:25" x14ac:dyDescent="0.25">
      <c r="G20" s="34" t="s">
        <v>63</v>
      </c>
      <c r="H20" s="36" t="s">
        <v>60</v>
      </c>
      <c r="I20" s="36" t="s">
        <v>59</v>
      </c>
      <c r="J20" s="28" t="s">
        <v>58</v>
      </c>
      <c r="K20" s="36" t="s">
        <v>61</v>
      </c>
      <c r="L20" s="35" t="s">
        <v>62</v>
      </c>
      <c r="M20" s="20"/>
      <c r="N20" s="20"/>
      <c r="O20" s="20"/>
      <c r="P20" s="20"/>
      <c r="Q20" s="20"/>
      <c r="R20" s="20"/>
      <c r="S20" s="20"/>
      <c r="T20" s="20"/>
      <c r="U20" s="20"/>
      <c r="V20" s="20"/>
      <c r="W20" s="20"/>
      <c r="X20" s="20"/>
      <c r="Y20" s="20"/>
    </row>
    <row r="21" spans="7:25" x14ac:dyDescent="0.25">
      <c r="G21" s="36" t="s">
        <v>15</v>
      </c>
      <c r="H21" s="37">
        <v>17001100</v>
      </c>
      <c r="I21" s="37">
        <v>17766000</v>
      </c>
      <c r="J21" s="38">
        <v>0.95694585162670265</v>
      </c>
      <c r="K21" s="37">
        <v>780</v>
      </c>
      <c r="L21" s="36" t="s">
        <v>17</v>
      </c>
    </row>
    <row r="22" spans="7:25" x14ac:dyDescent="0.25">
      <c r="G22" s="36" t="s">
        <v>23</v>
      </c>
      <c r="H22" s="37">
        <v>17189600</v>
      </c>
      <c r="I22" s="37">
        <v>18813000</v>
      </c>
      <c r="J22" s="38">
        <v>0.91370860575134216</v>
      </c>
      <c r="K22" s="37">
        <v>810</v>
      </c>
      <c r="L22" s="36" t="s">
        <v>17</v>
      </c>
    </row>
    <row r="23" spans="7:25" x14ac:dyDescent="0.25">
      <c r="G23" s="36" t="s">
        <v>26</v>
      </c>
      <c r="H23" s="37">
        <v>17680900</v>
      </c>
      <c r="I23" s="37">
        <v>19348000</v>
      </c>
      <c r="J23" s="38">
        <v>0.91383605540624357</v>
      </c>
      <c r="K23" s="37">
        <v>852</v>
      </c>
      <c r="L23" s="36" t="s">
        <v>18</v>
      </c>
    </row>
    <row r="24" spans="7:25" x14ac:dyDescent="0.25">
      <c r="G24" s="36" t="s">
        <v>29</v>
      </c>
      <c r="H24" s="37">
        <v>17834200</v>
      </c>
      <c r="I24" s="37">
        <v>18123000</v>
      </c>
      <c r="J24" s="38">
        <v>0.98406444849086794</v>
      </c>
      <c r="K24" s="37">
        <v>910</v>
      </c>
      <c r="L24" s="36" t="s">
        <v>17</v>
      </c>
    </row>
    <row r="25" spans="7:25" x14ac:dyDescent="0.25">
      <c r="G25" s="36" t="s">
        <v>64</v>
      </c>
      <c r="H25" s="37">
        <v>69705800</v>
      </c>
      <c r="I25" s="37">
        <v>74050000</v>
      </c>
      <c r="J25" s="38">
        <v>0.94133423362592838</v>
      </c>
      <c r="K25" s="37">
        <v>3352</v>
      </c>
      <c r="L25" s="36"/>
    </row>
    <row r="28" spans="7:25" x14ac:dyDescent="0.25">
      <c r="G28" t="s">
        <v>57</v>
      </c>
    </row>
    <row r="29" spans="7:25" x14ac:dyDescent="0.25">
      <c r="G29" t="s">
        <v>63</v>
      </c>
      <c r="H29" t="s">
        <v>60</v>
      </c>
      <c r="I29" t="s">
        <v>59</v>
      </c>
      <c r="J29" t="s">
        <v>58</v>
      </c>
      <c r="K29" t="s">
        <v>61</v>
      </c>
      <c r="L29" t="s">
        <v>62</v>
      </c>
    </row>
    <row r="30" spans="7:25" x14ac:dyDescent="0.25">
      <c r="G30" t="s">
        <v>15</v>
      </c>
      <c r="H30">
        <v>17001100</v>
      </c>
      <c r="I30">
        <v>17766000</v>
      </c>
      <c r="J30">
        <v>0.95694585162670265</v>
      </c>
      <c r="K30">
        <v>780</v>
      </c>
      <c r="L30" t="s">
        <v>17</v>
      </c>
    </row>
    <row r="31" spans="7:25" x14ac:dyDescent="0.25">
      <c r="G31" t="s">
        <v>23</v>
      </c>
      <c r="H31">
        <v>17189600</v>
      </c>
      <c r="I31">
        <v>18813000</v>
      </c>
      <c r="J31">
        <v>0.91370860575134216</v>
      </c>
      <c r="K31">
        <v>810</v>
      </c>
      <c r="L31" t="s">
        <v>17</v>
      </c>
    </row>
    <row r="32" spans="7:25" x14ac:dyDescent="0.25">
      <c r="G32" t="s">
        <v>26</v>
      </c>
      <c r="H32">
        <v>17680900</v>
      </c>
      <c r="I32">
        <v>19348000</v>
      </c>
      <c r="J32">
        <v>0.91383605540624357</v>
      </c>
      <c r="K32">
        <v>852</v>
      </c>
      <c r="L32" t="s">
        <v>18</v>
      </c>
    </row>
    <row r="33" spans="7:12" x14ac:dyDescent="0.25">
      <c r="G33" t="s">
        <v>29</v>
      </c>
      <c r="H33">
        <v>17834200</v>
      </c>
      <c r="I33">
        <v>18123000</v>
      </c>
      <c r="J33">
        <v>0.98406444849086794</v>
      </c>
      <c r="K33">
        <v>910</v>
      </c>
      <c r="L33" t="s">
        <v>17</v>
      </c>
    </row>
    <row r="34" spans="7:12" x14ac:dyDescent="0.25">
      <c r="G34" t="s">
        <v>64</v>
      </c>
      <c r="H34">
        <v>69705800</v>
      </c>
      <c r="I34">
        <v>74050000</v>
      </c>
      <c r="J34">
        <v>0.94133423362592838</v>
      </c>
      <c r="K34">
        <v>3352</v>
      </c>
    </row>
  </sheetData>
  <mergeCells count="2">
    <mergeCell ref="A1:U2"/>
    <mergeCell ref="G19:L19"/>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A6571-F860-406E-9867-911B5C63F8D6}">
  <dimension ref="A1:M14"/>
  <sheetViews>
    <sheetView workbookViewId="0">
      <selection sqref="A1:F14"/>
    </sheetView>
  </sheetViews>
  <sheetFormatPr defaultRowHeight="15" x14ac:dyDescent="0.25"/>
  <cols>
    <col min="1" max="1" width="11.28515625" bestFit="1" customWidth="1"/>
    <col min="2" max="2" width="18.7109375" bestFit="1" customWidth="1"/>
    <col min="3" max="3" width="16.28515625" bestFit="1" customWidth="1"/>
    <col min="4" max="4" width="20" bestFit="1" customWidth="1"/>
    <col min="5" max="6" width="19.7109375" bestFit="1" customWidth="1"/>
    <col min="7" max="21" width="7.7109375" bestFit="1" customWidth="1"/>
    <col min="22" max="227" width="9.28515625" bestFit="1" customWidth="1"/>
    <col min="228" max="228" width="11.28515625" bestFit="1" customWidth="1"/>
  </cols>
  <sheetData>
    <row r="1" spans="1:13" x14ac:dyDescent="0.25">
      <c r="A1" s="20" t="s">
        <v>3</v>
      </c>
      <c r="B1" t="s">
        <v>48</v>
      </c>
      <c r="C1" t="s">
        <v>52</v>
      </c>
      <c r="D1" t="s">
        <v>76</v>
      </c>
      <c r="E1" t="s">
        <v>68</v>
      </c>
      <c r="F1" t="s">
        <v>77</v>
      </c>
    </row>
    <row r="2" spans="1:13" x14ac:dyDescent="0.25">
      <c r="A2" s="21" t="s">
        <v>13</v>
      </c>
      <c r="B2" s="39">
        <v>5773600</v>
      </c>
      <c r="C2" s="39">
        <v>5937000</v>
      </c>
      <c r="D2" s="27">
        <v>0.97247768233114362</v>
      </c>
      <c r="E2" s="27"/>
      <c r="F2" s="39">
        <v>5773600</v>
      </c>
    </row>
    <row r="3" spans="1:13" x14ac:dyDescent="0.25">
      <c r="A3" s="21" t="s">
        <v>32</v>
      </c>
      <c r="B3" s="39">
        <v>5932100</v>
      </c>
      <c r="C3" s="39">
        <v>6810000</v>
      </c>
      <c r="D3" s="27">
        <v>0.87108663729809099</v>
      </c>
      <c r="E3" s="27">
        <v>2.7452542607731743E-2</v>
      </c>
      <c r="F3" s="39">
        <v>11705700</v>
      </c>
    </row>
    <row r="4" spans="1:13" x14ac:dyDescent="0.25">
      <c r="A4" s="21" t="s">
        <v>33</v>
      </c>
      <c r="B4" s="39">
        <v>5512900</v>
      </c>
      <c r="C4" s="39">
        <v>5631000</v>
      </c>
      <c r="D4" s="27">
        <v>0.9790268158408808</v>
      </c>
      <c r="E4" s="27">
        <v>-7.0666374471097929E-2</v>
      </c>
      <c r="F4" s="39">
        <v>17218600</v>
      </c>
    </row>
    <row r="5" spans="1:13" x14ac:dyDescent="0.25">
      <c r="A5" s="21" t="s">
        <v>34</v>
      </c>
      <c r="B5" s="39">
        <v>5352400</v>
      </c>
      <c r="C5" s="39">
        <v>5961000</v>
      </c>
      <c r="D5" s="27">
        <v>0.89790303640328806</v>
      </c>
      <c r="E5" s="27">
        <v>-2.9113533711839504E-2</v>
      </c>
      <c r="F5" s="39">
        <v>22571000</v>
      </c>
    </row>
    <row r="6" spans="1:13" x14ac:dyDescent="0.25">
      <c r="A6" s="21" t="s">
        <v>36</v>
      </c>
      <c r="B6" s="39">
        <v>5506100</v>
      </c>
      <c r="C6" s="39">
        <v>5586000</v>
      </c>
      <c r="D6" s="27">
        <v>0.98569638381668456</v>
      </c>
      <c r="E6" s="27">
        <v>2.8716089978327478E-2</v>
      </c>
      <c r="F6" s="39">
        <v>28077100</v>
      </c>
    </row>
    <row r="7" spans="1:13" x14ac:dyDescent="0.25">
      <c r="A7" s="21" t="s">
        <v>37</v>
      </c>
      <c r="B7" s="39">
        <v>6089400</v>
      </c>
      <c r="C7" s="39">
        <v>6184000</v>
      </c>
      <c r="D7" s="27">
        <v>0.98470245795601552</v>
      </c>
      <c r="E7" s="27">
        <v>0.10593705163364268</v>
      </c>
      <c r="F7" s="39">
        <v>34166500</v>
      </c>
    </row>
    <row r="8" spans="1:13" x14ac:dyDescent="0.25">
      <c r="A8" s="21" t="s">
        <v>38</v>
      </c>
      <c r="B8" s="39">
        <v>6766200</v>
      </c>
      <c r="C8" s="39">
        <v>6910000</v>
      </c>
      <c r="D8" s="27">
        <v>0.97918958031837922</v>
      </c>
      <c r="E8" s="27">
        <v>0.11114395506946498</v>
      </c>
      <c r="F8" s="39">
        <v>40932700</v>
      </c>
      <c r="G8" s="20"/>
      <c r="H8" s="20"/>
      <c r="I8" s="20"/>
      <c r="J8" s="20"/>
      <c r="K8" s="20"/>
      <c r="L8" s="20"/>
      <c r="M8" s="20"/>
    </row>
    <row r="9" spans="1:13" x14ac:dyDescent="0.25">
      <c r="A9" s="21" t="s">
        <v>40</v>
      </c>
      <c r="B9" s="39">
        <v>5256700</v>
      </c>
      <c r="C9" s="39">
        <v>5396000</v>
      </c>
      <c r="D9" s="27">
        <v>0.97418458117123796</v>
      </c>
      <c r="E9" s="27">
        <v>-0.22309420354113091</v>
      </c>
      <c r="F9" s="39">
        <v>46189400</v>
      </c>
    </row>
    <row r="10" spans="1:13" x14ac:dyDescent="0.25">
      <c r="A10" s="21" t="s">
        <v>41</v>
      </c>
      <c r="B10" s="39">
        <v>5802900</v>
      </c>
      <c r="C10" s="39">
        <v>6156000</v>
      </c>
      <c r="D10" s="27">
        <v>0.94264132553606239</v>
      </c>
      <c r="E10" s="27">
        <v>0.10390549203873152</v>
      </c>
      <c r="F10" s="39">
        <v>51992300</v>
      </c>
    </row>
    <row r="11" spans="1:13" x14ac:dyDescent="0.25">
      <c r="A11" s="21" t="s">
        <v>42</v>
      </c>
      <c r="B11" s="39">
        <v>5243100</v>
      </c>
      <c r="C11" s="39">
        <v>5705000</v>
      </c>
      <c r="D11" s="27">
        <v>0.91903593339176159</v>
      </c>
      <c r="E11" s="27">
        <v>-9.6469006875872412E-2</v>
      </c>
      <c r="F11" s="39">
        <v>57235400</v>
      </c>
    </row>
    <row r="12" spans="1:13" x14ac:dyDescent="0.25">
      <c r="A12" s="21" t="s">
        <v>44</v>
      </c>
      <c r="B12" s="39">
        <v>6487100</v>
      </c>
      <c r="C12" s="39">
        <v>7161000</v>
      </c>
      <c r="D12" s="27">
        <v>0.90589303169948332</v>
      </c>
      <c r="E12" s="27">
        <v>0.23726421391924624</v>
      </c>
      <c r="F12" s="39">
        <v>63722500</v>
      </c>
    </row>
    <row r="13" spans="1:13" x14ac:dyDescent="0.25">
      <c r="A13" s="21" t="s">
        <v>45</v>
      </c>
      <c r="B13" s="39">
        <v>5983300</v>
      </c>
      <c r="C13" s="39">
        <v>6613000</v>
      </c>
      <c r="D13" s="27">
        <v>0.90477846665658557</v>
      </c>
      <c r="E13" s="27">
        <v>-7.7661821152749305E-2</v>
      </c>
      <c r="F13" s="39">
        <v>69705800</v>
      </c>
    </row>
    <row r="14" spans="1:13" x14ac:dyDescent="0.25">
      <c r="A14" s="21" t="s">
        <v>46</v>
      </c>
      <c r="B14" s="39">
        <v>69705800</v>
      </c>
      <c r="C14" s="39">
        <v>74050000</v>
      </c>
      <c r="D14" s="27">
        <v>0.94133423362592838</v>
      </c>
      <c r="E14" s="27"/>
      <c r="F14" s="2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D3833-D1CA-4806-BF36-2E938CA9C4C7}">
  <sheetPr>
    <tabColor theme="9" tint="0.39997558519241921"/>
  </sheetPr>
  <dimension ref="A2:L27"/>
  <sheetViews>
    <sheetView showGridLines="0" workbookViewId="0">
      <selection activeCell="I22" sqref="I22"/>
    </sheetView>
  </sheetViews>
  <sheetFormatPr defaultRowHeight="15" x14ac:dyDescent="0.25"/>
  <cols>
    <col min="1" max="1" width="12.42578125" bestFit="1" customWidth="1"/>
    <col min="2" max="2" width="17.85546875" bestFit="1" customWidth="1"/>
    <col min="3" max="3" width="10.85546875" bestFit="1" customWidth="1"/>
    <col min="4" max="4" width="13.28515625" bestFit="1" customWidth="1"/>
    <col min="7" max="7" width="11.5703125" bestFit="1" customWidth="1"/>
    <col min="8" max="9" width="12.28515625" bestFit="1" customWidth="1"/>
    <col min="10" max="10" width="13.7109375" bestFit="1" customWidth="1"/>
    <col min="11" max="11" width="16.140625" bestFit="1" customWidth="1"/>
    <col min="12" max="12" width="12.28515625" bestFit="1" customWidth="1"/>
  </cols>
  <sheetData>
    <row r="2" spans="1:12" x14ac:dyDescent="0.25">
      <c r="A2" s="60" t="s">
        <v>67</v>
      </c>
      <c r="B2" s="60"/>
      <c r="C2" s="60"/>
      <c r="D2" s="60"/>
      <c r="G2" s="60" t="s">
        <v>82</v>
      </c>
      <c r="H2" s="60"/>
      <c r="I2" s="60"/>
      <c r="J2" s="60"/>
      <c r="K2" s="60"/>
      <c r="L2" s="60"/>
    </row>
    <row r="3" spans="1:12" x14ac:dyDescent="0.25">
      <c r="A3" s="34" t="s">
        <v>3</v>
      </c>
      <c r="B3" s="36" t="s">
        <v>50</v>
      </c>
      <c r="C3" s="36" t="s">
        <v>65</v>
      </c>
      <c r="D3" s="40" t="s">
        <v>66</v>
      </c>
      <c r="G3" s="34" t="s">
        <v>1</v>
      </c>
      <c r="H3" s="36" t="s">
        <v>60</v>
      </c>
      <c r="I3" s="36" t="s">
        <v>78</v>
      </c>
      <c r="J3" s="36" t="s">
        <v>79</v>
      </c>
      <c r="K3" s="36" t="s">
        <v>80</v>
      </c>
      <c r="L3" s="36" t="s">
        <v>81</v>
      </c>
    </row>
    <row r="4" spans="1:12" x14ac:dyDescent="0.25">
      <c r="A4" s="36" t="s">
        <v>15</v>
      </c>
      <c r="B4" s="40">
        <v>17001100</v>
      </c>
      <c r="C4" s="37">
        <v>780</v>
      </c>
      <c r="D4" s="40">
        <v>21796.282051282051</v>
      </c>
      <c r="G4" s="36" t="s">
        <v>13</v>
      </c>
      <c r="H4" s="40">
        <v>5773600</v>
      </c>
      <c r="I4" s="40">
        <v>5937000</v>
      </c>
      <c r="J4" s="42">
        <v>0.97247768233114362</v>
      </c>
      <c r="K4" s="42"/>
      <c r="L4" s="40">
        <v>5773600</v>
      </c>
    </row>
    <row r="5" spans="1:12" x14ac:dyDescent="0.25">
      <c r="A5" s="36" t="s">
        <v>23</v>
      </c>
      <c r="B5" s="40">
        <v>17189600</v>
      </c>
      <c r="C5" s="37">
        <v>810</v>
      </c>
      <c r="D5" s="40">
        <v>21221.728395061727</v>
      </c>
      <c r="G5" s="36" t="s">
        <v>32</v>
      </c>
      <c r="H5" s="40">
        <v>5932100</v>
      </c>
      <c r="I5" s="40">
        <v>6810000</v>
      </c>
      <c r="J5" s="42">
        <v>0.87108663729809099</v>
      </c>
      <c r="K5" s="42">
        <v>2.7452542607731743E-2</v>
      </c>
      <c r="L5" s="40">
        <v>11705700</v>
      </c>
    </row>
    <row r="6" spans="1:12" x14ac:dyDescent="0.25">
      <c r="A6" s="36" t="s">
        <v>26</v>
      </c>
      <c r="B6" s="40">
        <v>17680900</v>
      </c>
      <c r="C6" s="37">
        <v>852</v>
      </c>
      <c r="D6" s="40">
        <v>20752.230046948356</v>
      </c>
      <c r="G6" s="36" t="s">
        <v>33</v>
      </c>
      <c r="H6" s="40">
        <v>5512900</v>
      </c>
      <c r="I6" s="40">
        <v>5631000</v>
      </c>
      <c r="J6" s="42">
        <v>0.9790268158408808</v>
      </c>
      <c r="K6" s="42">
        <v>-7.0666374471097929E-2</v>
      </c>
      <c r="L6" s="40">
        <v>17218600</v>
      </c>
    </row>
    <row r="7" spans="1:12" x14ac:dyDescent="0.25">
      <c r="A7" s="36" t="s">
        <v>29</v>
      </c>
      <c r="B7" s="40">
        <v>17834200</v>
      </c>
      <c r="C7" s="37">
        <v>910</v>
      </c>
      <c r="D7" s="40">
        <v>19598.021978021978</v>
      </c>
      <c r="G7" s="36" t="s">
        <v>34</v>
      </c>
      <c r="H7" s="40">
        <v>5352400</v>
      </c>
      <c r="I7" s="40">
        <v>5961000</v>
      </c>
      <c r="J7" s="42">
        <v>0.89790303640328806</v>
      </c>
      <c r="K7" s="42">
        <v>-2.9113533711839504E-2</v>
      </c>
      <c r="L7" s="40">
        <v>22571000</v>
      </c>
    </row>
    <row r="8" spans="1:12" x14ac:dyDescent="0.25">
      <c r="A8" s="36" t="s">
        <v>46</v>
      </c>
      <c r="B8" s="40">
        <v>69705800</v>
      </c>
      <c r="C8" s="37">
        <v>3352</v>
      </c>
      <c r="D8" s="40">
        <v>20795.286396181385</v>
      </c>
      <c r="G8" s="36" t="s">
        <v>36</v>
      </c>
      <c r="H8" s="40">
        <v>5506100</v>
      </c>
      <c r="I8" s="40">
        <v>5586000</v>
      </c>
      <c r="J8" s="42">
        <v>0.98569638381668456</v>
      </c>
      <c r="K8" s="42">
        <v>2.8716089978327478E-2</v>
      </c>
      <c r="L8" s="40">
        <v>28077100</v>
      </c>
    </row>
    <row r="9" spans="1:12" x14ac:dyDescent="0.25">
      <c r="G9" s="36" t="s">
        <v>37</v>
      </c>
      <c r="H9" s="40">
        <v>6089400</v>
      </c>
      <c r="I9" s="40">
        <v>6184000</v>
      </c>
      <c r="J9" s="42">
        <v>0.98470245795601552</v>
      </c>
      <c r="K9" s="42">
        <v>0.10593705163364268</v>
      </c>
      <c r="L9" s="40">
        <v>34166500</v>
      </c>
    </row>
    <row r="10" spans="1:12" x14ac:dyDescent="0.25">
      <c r="G10" s="36" t="s">
        <v>38</v>
      </c>
      <c r="H10" s="40">
        <v>6766200</v>
      </c>
      <c r="I10" s="40">
        <v>6910000</v>
      </c>
      <c r="J10" s="42">
        <v>0.97918958031837922</v>
      </c>
      <c r="K10" s="42">
        <v>0.11114395506946498</v>
      </c>
      <c r="L10" s="40">
        <v>40932700</v>
      </c>
    </row>
    <row r="11" spans="1:12" x14ac:dyDescent="0.25">
      <c r="A11" s="60" t="s">
        <v>70</v>
      </c>
      <c r="B11" s="61"/>
      <c r="C11" s="61"/>
      <c r="D11" s="61"/>
      <c r="G11" s="36" t="s">
        <v>40</v>
      </c>
      <c r="H11" s="40">
        <v>5256700</v>
      </c>
      <c r="I11" s="40">
        <v>5396000</v>
      </c>
      <c r="J11" s="42">
        <v>0.97418458117123796</v>
      </c>
      <c r="K11" s="42">
        <v>-0.22309420354113091</v>
      </c>
      <c r="L11" s="40">
        <v>46189400</v>
      </c>
    </row>
    <row r="12" spans="1:12" x14ac:dyDescent="0.25">
      <c r="A12" s="34" t="s">
        <v>5</v>
      </c>
      <c r="B12" s="36" t="s">
        <v>50</v>
      </c>
      <c r="C12" s="36" t="s">
        <v>65</v>
      </c>
      <c r="D12" s="36" t="s">
        <v>69</v>
      </c>
      <c r="G12" s="36" t="s">
        <v>41</v>
      </c>
      <c r="H12" s="40">
        <v>5802900</v>
      </c>
      <c r="I12" s="40">
        <v>6156000</v>
      </c>
      <c r="J12" s="42">
        <v>0.94264132553606239</v>
      </c>
      <c r="K12" s="42">
        <v>0.10390549203873152</v>
      </c>
      <c r="L12" s="40">
        <v>51992300</v>
      </c>
    </row>
    <row r="13" spans="1:12" x14ac:dyDescent="0.25">
      <c r="A13" s="36" t="s">
        <v>22</v>
      </c>
      <c r="B13" s="40">
        <v>5434700</v>
      </c>
      <c r="C13" s="37">
        <v>1219</v>
      </c>
      <c r="D13" s="42">
        <v>7.7966252449580956E-2</v>
      </c>
      <c r="G13" s="36" t="s">
        <v>42</v>
      </c>
      <c r="H13" s="40">
        <v>5243100</v>
      </c>
      <c r="I13" s="40">
        <v>5705000</v>
      </c>
      <c r="J13" s="42">
        <v>0.91903593339176159</v>
      </c>
      <c r="K13" s="42">
        <v>-9.6469006875872412E-2</v>
      </c>
      <c r="L13" s="40">
        <v>57235400</v>
      </c>
    </row>
    <row r="14" spans="1:12" x14ac:dyDescent="0.25">
      <c r="A14" s="36" t="s">
        <v>21</v>
      </c>
      <c r="B14" s="40">
        <v>9968200</v>
      </c>
      <c r="C14" s="37">
        <v>457</v>
      </c>
      <c r="D14" s="42">
        <v>0.14300388202990283</v>
      </c>
      <c r="G14" s="36" t="s">
        <v>44</v>
      </c>
      <c r="H14" s="40">
        <v>6487100</v>
      </c>
      <c r="I14" s="40">
        <v>7161000</v>
      </c>
      <c r="J14" s="42">
        <v>0.90589303169948332</v>
      </c>
      <c r="K14" s="42">
        <v>0.23726421391924624</v>
      </c>
      <c r="L14" s="40">
        <v>63722500</v>
      </c>
    </row>
    <row r="15" spans="1:12" x14ac:dyDescent="0.25">
      <c r="A15" s="36" t="s">
        <v>20</v>
      </c>
      <c r="B15" s="40">
        <v>13783200</v>
      </c>
      <c r="C15" s="37">
        <v>764</v>
      </c>
      <c r="D15" s="42">
        <v>0.19773390449575215</v>
      </c>
      <c r="G15" s="36" t="s">
        <v>45</v>
      </c>
      <c r="H15" s="40">
        <v>5983300</v>
      </c>
      <c r="I15" s="40">
        <v>6613000</v>
      </c>
      <c r="J15" s="42">
        <v>0.90477846665658557</v>
      </c>
      <c r="K15" s="42">
        <v>-7.7661821152749305E-2</v>
      </c>
      <c r="L15" s="40">
        <v>69705800</v>
      </c>
    </row>
    <row r="16" spans="1:12" x14ac:dyDescent="0.25">
      <c r="A16" s="36" t="s">
        <v>18</v>
      </c>
      <c r="B16" s="40">
        <v>18291300</v>
      </c>
      <c r="C16" s="37">
        <v>572</v>
      </c>
      <c r="D16" s="42">
        <v>0.26240714545991867</v>
      </c>
      <c r="G16" s="36" t="s">
        <v>64</v>
      </c>
      <c r="H16" s="40">
        <v>69705800</v>
      </c>
      <c r="I16" s="40">
        <v>74050000</v>
      </c>
      <c r="J16" s="42">
        <v>0.94133423362592838</v>
      </c>
      <c r="K16" s="42"/>
      <c r="L16" s="37"/>
    </row>
    <row r="17" spans="1:12" x14ac:dyDescent="0.25">
      <c r="A17" s="36" t="s">
        <v>17</v>
      </c>
      <c r="B17" s="40">
        <v>22228400</v>
      </c>
      <c r="C17" s="37">
        <v>340</v>
      </c>
      <c r="D17" s="42">
        <v>0.31888881556484538</v>
      </c>
    </row>
    <row r="18" spans="1:12" x14ac:dyDescent="0.25">
      <c r="A18" s="36" t="s">
        <v>46</v>
      </c>
      <c r="B18" s="40">
        <v>69705800</v>
      </c>
      <c r="C18" s="37">
        <v>3352</v>
      </c>
      <c r="D18" s="42">
        <v>1</v>
      </c>
    </row>
    <row r="20" spans="1:12" x14ac:dyDescent="0.25">
      <c r="I20" s="62"/>
      <c r="J20" s="62"/>
      <c r="K20" s="62"/>
      <c r="L20" s="62"/>
    </row>
    <row r="21" spans="1:12" x14ac:dyDescent="0.25">
      <c r="A21" s="54" t="s">
        <v>71</v>
      </c>
      <c r="B21" s="55"/>
      <c r="C21" s="55"/>
      <c r="D21" s="55"/>
      <c r="E21" s="55"/>
      <c r="F21" s="56"/>
      <c r="I21" s="45"/>
      <c r="J21" s="45"/>
      <c r="K21" s="63"/>
      <c r="L21" s="63"/>
    </row>
    <row r="22" spans="1:12" ht="30" x14ac:dyDescent="0.25">
      <c r="A22" s="43" t="s">
        <v>83</v>
      </c>
      <c r="B22" s="57" t="s">
        <v>17</v>
      </c>
      <c r="C22" s="58"/>
      <c r="D22" s="58"/>
      <c r="E22" s="58"/>
      <c r="F22" s="59"/>
      <c r="I22" s="46"/>
      <c r="J22" s="46"/>
      <c r="K22" s="46"/>
      <c r="L22" s="46"/>
    </row>
    <row r="23" spans="1:12" x14ac:dyDescent="0.25">
      <c r="A23" s="48" t="s">
        <v>72</v>
      </c>
      <c r="B23" s="48" t="s">
        <v>73</v>
      </c>
      <c r="C23" s="48" t="s">
        <v>74</v>
      </c>
      <c r="D23" s="53" t="s">
        <v>75</v>
      </c>
      <c r="E23" s="53"/>
      <c r="F23" s="53"/>
      <c r="I23" s="46"/>
      <c r="J23" s="47"/>
      <c r="K23" s="47"/>
      <c r="L23" s="46"/>
    </row>
    <row r="24" spans="1:12" ht="30" x14ac:dyDescent="0.25">
      <c r="A24" s="44" t="s">
        <v>53</v>
      </c>
      <c r="B24" s="36">
        <f>VLOOKUP(B22,A12:D18,2,FALSE)</f>
        <v>22228400</v>
      </c>
      <c r="C24" s="36">
        <f>INDEX(B12:B18,MATCH(B22,A12:A18,0))</f>
        <v>22228400</v>
      </c>
      <c r="D24" s="50" t="s">
        <v>84</v>
      </c>
      <c r="E24" s="51"/>
      <c r="F24" s="52"/>
      <c r="I24" s="46"/>
      <c r="J24" s="46"/>
      <c r="K24" s="46"/>
      <c r="L24" s="46"/>
    </row>
    <row r="25" spans="1:12" x14ac:dyDescent="0.25">
      <c r="A25" s="36" t="s">
        <v>6</v>
      </c>
      <c r="B25" s="36">
        <f>VLOOKUP(B22,A12:D18,3,FALSE)</f>
        <v>340</v>
      </c>
      <c r="C25" s="36">
        <f>INDEX(C12:C18,MATCH(B22,A12:A18,0))</f>
        <v>340</v>
      </c>
      <c r="D25" s="41" t="s">
        <v>85</v>
      </c>
      <c r="E25" s="41"/>
      <c r="F25" s="41"/>
    </row>
    <row r="27" spans="1:12" x14ac:dyDescent="0.25">
      <c r="K27">
        <f ca="1">K27:K29</f>
        <v>0</v>
      </c>
    </row>
  </sheetData>
  <mergeCells count="9">
    <mergeCell ref="I20:L20"/>
    <mergeCell ref="K21:L21"/>
    <mergeCell ref="G2:L2"/>
    <mergeCell ref="D24:F24"/>
    <mergeCell ref="D23:F23"/>
    <mergeCell ref="A21:F21"/>
    <mergeCell ref="B22:F22"/>
    <mergeCell ref="A2:D2"/>
    <mergeCell ref="A11:D11"/>
  </mergeCell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Sheet4</vt:lpstr>
      <vt:lpstr>Charts</vt:lpstr>
      <vt:lpstr>Dashboard</vt:lpstr>
      <vt:lpstr>Sheet7</vt:lpstr>
      <vt:lpstr>Pivot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Dell_owner</dc:creator>
  <cp:lastModifiedBy>Dell_owner</cp:lastModifiedBy>
  <dcterms:created xsi:type="dcterms:W3CDTF">2026-05-07T09:14:57Z</dcterms:created>
  <dcterms:modified xsi:type="dcterms:W3CDTF">2026-05-10T07:56:23Z</dcterms:modified>
</cp:coreProperties>
</file>